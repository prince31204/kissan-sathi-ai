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285" windowWidth="14805" windowHeight="7845" activeTab="4"/>
  </bookViews>
  <sheets>
    <sheet name="Rice" sheetId="1" r:id="rId1"/>
    <sheet name="Wheat" sheetId="2" r:id="rId2"/>
    <sheet name="System" sheetId="3" r:id="rId3"/>
    <sheet name="RW energy" sheetId="4" r:id="rId4"/>
    <sheet name="Economics" sheetId="5" r:id="rId5"/>
    <sheet name="Sheet1" sheetId="6" r:id="rId6"/>
  </sheets>
  <calcPr calcId="144525"/>
</workbook>
</file>

<file path=xl/calcChain.xml><?xml version="1.0" encoding="utf-8"?>
<calcChain xmlns="http://schemas.openxmlformats.org/spreadsheetml/2006/main">
  <c r="G25" i="4" l="1"/>
  <c r="G26" i="4"/>
  <c r="G27" i="4"/>
  <c r="G28" i="4"/>
  <c r="G29" i="4"/>
  <c r="G30" i="4"/>
  <c r="G31" i="4"/>
  <c r="F25" i="4"/>
  <c r="F5" i="4"/>
  <c r="F23" i="5"/>
  <c r="G23" i="5"/>
  <c r="J23" i="5"/>
  <c r="K23" i="5"/>
  <c r="N23" i="5"/>
  <c r="C23" i="5"/>
  <c r="Q30" i="4" l="1"/>
  <c r="Q29" i="4"/>
  <c r="Q28" i="4"/>
  <c r="Q27" i="4"/>
  <c r="Q26" i="4"/>
  <c r="Q25" i="4"/>
  <c r="P30" i="4"/>
  <c r="P29" i="4"/>
  <c r="P28" i="4"/>
  <c r="P27" i="4"/>
  <c r="P26" i="4"/>
  <c r="P25" i="4"/>
  <c r="O30" i="4"/>
  <c r="O29" i="4"/>
  <c r="O28" i="4"/>
  <c r="O27" i="4"/>
  <c r="O26" i="4"/>
  <c r="O25" i="4"/>
  <c r="N26" i="4"/>
  <c r="N27" i="4"/>
  <c r="N28" i="4"/>
  <c r="N29" i="4"/>
  <c r="N30" i="4"/>
  <c r="N25" i="4"/>
  <c r="M26" i="4"/>
  <c r="M27" i="4"/>
  <c r="M28" i="4"/>
  <c r="M29" i="4"/>
  <c r="M30" i="4"/>
  <c r="M25" i="4"/>
  <c r="L26" i="4"/>
  <c r="L27" i="4"/>
  <c r="L28" i="4"/>
  <c r="L29" i="4"/>
  <c r="L30" i="4"/>
  <c r="L25" i="4"/>
  <c r="C25" i="4"/>
  <c r="B25" i="4"/>
  <c r="K39" i="2" l="1"/>
  <c r="J41" i="2"/>
  <c r="J42" i="2"/>
  <c r="J43" i="2"/>
  <c r="J44" i="2"/>
  <c r="J45" i="2"/>
  <c r="J40" i="2"/>
  <c r="D39" i="2"/>
  <c r="D38" i="2"/>
  <c r="E38" i="2"/>
  <c r="Q38" i="2"/>
  <c r="M37" i="2"/>
  <c r="M46" i="1"/>
  <c r="M47" i="1"/>
  <c r="M48" i="1"/>
  <c r="M49" i="1"/>
  <c r="N49" i="1"/>
  <c r="N45" i="1"/>
  <c r="N46" i="1"/>
  <c r="N47" i="1"/>
  <c r="N48" i="1"/>
  <c r="N44" i="1"/>
  <c r="N32" i="1"/>
  <c r="J45" i="1"/>
  <c r="J44" i="1"/>
  <c r="I39" i="1"/>
  <c r="I38" i="1"/>
  <c r="I42" i="1"/>
  <c r="G44" i="1"/>
  <c r="I43" i="1"/>
  <c r="J46" i="2" l="1"/>
  <c r="K45" i="4"/>
  <c r="K47" i="4"/>
  <c r="K49" i="4"/>
  <c r="J26" i="4"/>
  <c r="J45" i="4" s="1"/>
  <c r="K26" i="4"/>
  <c r="J27" i="4"/>
  <c r="J46" i="4" s="1"/>
  <c r="K27" i="4"/>
  <c r="K46" i="4" s="1"/>
  <c r="J28" i="4"/>
  <c r="J47" i="4" s="1"/>
  <c r="K28" i="4"/>
  <c r="J29" i="4"/>
  <c r="J48" i="4" s="1"/>
  <c r="K29" i="4"/>
  <c r="K48" i="4" s="1"/>
  <c r="J30" i="4"/>
  <c r="J49" i="4" s="1"/>
  <c r="K30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J42" i="4"/>
  <c r="K42" i="4"/>
  <c r="K25" i="4"/>
  <c r="K44" i="4" s="1"/>
  <c r="J25" i="4"/>
  <c r="J44" i="4" s="1"/>
  <c r="M47" i="5" l="1"/>
  <c r="N47" i="5"/>
  <c r="O47" i="5"/>
  <c r="O45" i="5"/>
  <c r="O46" i="5" s="1"/>
  <c r="M45" i="5" l="1"/>
  <c r="M46" i="5" s="1"/>
  <c r="N45" i="5"/>
  <c r="N46" i="5" s="1"/>
  <c r="F28" i="5" l="1"/>
  <c r="F27" i="5"/>
  <c r="F26" i="5"/>
  <c r="F25" i="5"/>
  <c r="F24" i="5"/>
  <c r="H23" i="5"/>
  <c r="I23" i="5"/>
  <c r="Q4" i="5" l="1"/>
  <c r="O5" i="5"/>
  <c r="O4" i="5"/>
  <c r="D39" i="5"/>
  <c r="E39" i="5"/>
  <c r="D40" i="5"/>
  <c r="E40" i="5"/>
  <c r="D41" i="5"/>
  <c r="E41" i="5"/>
  <c r="D42" i="5"/>
  <c r="E42" i="5"/>
  <c r="D43" i="5"/>
  <c r="E43" i="5"/>
  <c r="D44" i="5"/>
  <c r="E44" i="5"/>
  <c r="E47" i="5" s="1"/>
  <c r="C40" i="5"/>
  <c r="C41" i="5"/>
  <c r="C42" i="5"/>
  <c r="C43" i="5"/>
  <c r="C44" i="5"/>
  <c r="C39" i="5"/>
  <c r="C47" i="5" l="1"/>
  <c r="E45" i="5"/>
  <c r="E46" i="5" s="1"/>
  <c r="D47" i="5"/>
  <c r="C45" i="5"/>
  <c r="C46" i="5" s="1"/>
  <c r="D45" i="5"/>
  <c r="D46" i="5" s="1"/>
  <c r="L23" i="5"/>
  <c r="M23" i="5" l="1"/>
  <c r="G24" i="5"/>
  <c r="H24" i="5"/>
  <c r="I24" i="5"/>
  <c r="J24" i="5"/>
  <c r="K24" i="5"/>
  <c r="L24" i="5"/>
  <c r="M24" i="5"/>
  <c r="N24" i="5"/>
  <c r="G25" i="5"/>
  <c r="H25" i="5"/>
  <c r="I25" i="5"/>
  <c r="J25" i="5"/>
  <c r="K25" i="5"/>
  <c r="L25" i="5"/>
  <c r="M25" i="5"/>
  <c r="N25" i="5"/>
  <c r="G26" i="5"/>
  <c r="H26" i="5"/>
  <c r="I26" i="5"/>
  <c r="J26" i="5"/>
  <c r="K26" i="5"/>
  <c r="L26" i="5"/>
  <c r="M26" i="5"/>
  <c r="N26" i="5"/>
  <c r="G27" i="5"/>
  <c r="H27" i="5"/>
  <c r="I27" i="5"/>
  <c r="J27" i="5"/>
  <c r="K27" i="5"/>
  <c r="L27" i="5"/>
  <c r="M27" i="5"/>
  <c r="N27" i="5"/>
  <c r="G28" i="5"/>
  <c r="H28" i="5"/>
  <c r="I28" i="5"/>
  <c r="J28" i="5"/>
  <c r="K28" i="5"/>
  <c r="L28" i="5"/>
  <c r="M28" i="5"/>
  <c r="N28" i="5"/>
  <c r="C24" i="5"/>
  <c r="C25" i="5"/>
  <c r="C26" i="5"/>
  <c r="C27" i="5"/>
  <c r="C28" i="5"/>
  <c r="P4" i="5"/>
  <c r="P5" i="5"/>
  <c r="Q5" i="5"/>
  <c r="P6" i="5"/>
  <c r="Q6" i="5"/>
  <c r="P7" i="5"/>
  <c r="Q7" i="5"/>
  <c r="P8" i="5"/>
  <c r="Q8" i="5"/>
  <c r="P9" i="5"/>
  <c r="Q9" i="5"/>
  <c r="P10" i="5"/>
  <c r="Q10" i="5"/>
  <c r="P11" i="5"/>
  <c r="Q11" i="5"/>
  <c r="P12" i="5"/>
  <c r="Q12" i="5"/>
  <c r="P13" i="5"/>
  <c r="Q13" i="5"/>
  <c r="P14" i="5"/>
  <c r="Q14" i="5"/>
  <c r="P15" i="5"/>
  <c r="Q15" i="5"/>
  <c r="P16" i="5"/>
  <c r="Q16" i="5"/>
  <c r="P17" i="5"/>
  <c r="Q17" i="5"/>
  <c r="P18" i="5"/>
  <c r="Q18" i="5"/>
  <c r="P19" i="5"/>
  <c r="Q19" i="5"/>
  <c r="P20" i="5"/>
  <c r="Q20" i="5"/>
  <c r="P21" i="5"/>
  <c r="Q21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4" i="5"/>
  <c r="R42" i="5" l="1"/>
  <c r="O23" i="5"/>
  <c r="D23" i="5"/>
  <c r="E23" i="5"/>
  <c r="W23" i="5"/>
  <c r="Q43" i="5"/>
  <c r="W28" i="5"/>
  <c r="Q28" i="5"/>
  <c r="F44" i="5"/>
  <c r="P43" i="5"/>
  <c r="H40" i="5"/>
  <c r="P42" i="5"/>
  <c r="P24" i="5"/>
  <c r="Q40" i="5"/>
  <c r="P28" i="5"/>
  <c r="Q44" i="5"/>
  <c r="F43" i="5"/>
  <c r="G44" i="5"/>
  <c r="G42" i="5"/>
  <c r="G40" i="5"/>
  <c r="P23" i="5"/>
  <c r="Q39" i="5"/>
  <c r="S23" i="5"/>
  <c r="H44" i="5"/>
  <c r="P39" i="5"/>
  <c r="R23" i="5"/>
  <c r="P41" i="5"/>
  <c r="R39" i="5"/>
  <c r="T23" i="5"/>
  <c r="R43" i="5"/>
  <c r="F40" i="5"/>
  <c r="U24" i="5"/>
  <c r="F42" i="5"/>
  <c r="H39" i="5"/>
  <c r="H43" i="5"/>
  <c r="H41" i="5"/>
  <c r="G39" i="5"/>
  <c r="V23" i="5"/>
  <c r="O26" i="5"/>
  <c r="Q25" i="5"/>
  <c r="R41" i="5"/>
  <c r="H42" i="5"/>
  <c r="Q41" i="5"/>
  <c r="O28" i="5"/>
  <c r="P44" i="5"/>
  <c r="O24" i="5"/>
  <c r="P40" i="5"/>
  <c r="Q42" i="5"/>
  <c r="R40" i="5"/>
  <c r="R44" i="5"/>
  <c r="F39" i="5"/>
  <c r="U23" i="5"/>
  <c r="F41" i="5"/>
  <c r="G43" i="5"/>
  <c r="G41" i="5"/>
  <c r="Q24" i="5"/>
  <c r="D26" i="5"/>
  <c r="R26" i="5"/>
  <c r="T26" i="5"/>
  <c r="W27" i="5"/>
  <c r="E24" i="5"/>
  <c r="S24" i="5"/>
  <c r="U28" i="5"/>
  <c r="V27" i="5"/>
  <c r="V25" i="5"/>
  <c r="D25" i="5"/>
  <c r="R25" i="5"/>
  <c r="E25" i="5"/>
  <c r="S25" i="5"/>
  <c r="T27" i="5"/>
  <c r="U27" i="5"/>
  <c r="W26" i="5"/>
  <c r="W24" i="5"/>
  <c r="Q26" i="5"/>
  <c r="P25" i="5"/>
  <c r="D27" i="5"/>
  <c r="R27" i="5"/>
  <c r="E27" i="5"/>
  <c r="S27" i="5"/>
  <c r="T25" i="5"/>
  <c r="U25" i="5"/>
  <c r="W25" i="5"/>
  <c r="P27" i="5"/>
  <c r="E28" i="5"/>
  <c r="S28" i="5"/>
  <c r="O27" i="5"/>
  <c r="O29" i="5" s="1"/>
  <c r="D28" i="5"/>
  <c r="R28" i="5"/>
  <c r="D24" i="5"/>
  <c r="R24" i="5"/>
  <c r="E26" i="5"/>
  <c r="S26" i="5"/>
  <c r="T24" i="5"/>
  <c r="T28" i="5"/>
  <c r="U26" i="5"/>
  <c r="V28" i="5"/>
  <c r="V26" i="5"/>
  <c r="V24" i="5"/>
  <c r="Q27" i="5"/>
  <c r="P26" i="5"/>
  <c r="O25" i="5"/>
  <c r="Q23" i="5"/>
  <c r="BJ5" i="4"/>
  <c r="D44" i="1"/>
  <c r="F44" i="1"/>
  <c r="O30" i="5" l="1"/>
  <c r="D34" i="5"/>
  <c r="R45" i="5"/>
  <c r="R46" i="5" s="1"/>
  <c r="D35" i="5"/>
  <c r="F45" i="5"/>
  <c r="F46" i="5" s="1"/>
  <c r="Q45" i="5"/>
  <c r="Q46" i="5" s="1"/>
  <c r="G45" i="5"/>
  <c r="G46" i="5" s="1"/>
  <c r="D29" i="5"/>
  <c r="D30" i="5" s="1"/>
  <c r="H45" i="5"/>
  <c r="H46" i="5" s="1"/>
  <c r="P45" i="5"/>
  <c r="P46" i="5" s="1"/>
  <c r="D33" i="5"/>
  <c r="E29" i="5"/>
  <c r="E30" i="5" s="1"/>
  <c r="D32" i="5"/>
  <c r="F29" i="5"/>
  <c r="F30" i="5" s="1"/>
  <c r="BJ6" i="4" l="1"/>
  <c r="BJ7" i="4"/>
  <c r="BJ8" i="4"/>
  <c r="BJ9" i="4"/>
  <c r="BJ10" i="4"/>
  <c r="AM2" i="1" l="1"/>
  <c r="AL2" i="1"/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" i="3"/>
  <c r="N20" i="3"/>
  <c r="N21" i="3"/>
  <c r="N22" i="3"/>
  <c r="N23" i="3"/>
  <c r="N24" i="3"/>
  <c r="N25" i="3"/>
  <c r="C35" i="2"/>
  <c r="W4" i="3" l="1"/>
  <c r="W5" i="3"/>
  <c r="W7" i="3"/>
  <c r="W3" i="3"/>
  <c r="W2" i="3"/>
  <c r="W6" i="3"/>
  <c r="E26" i="4"/>
  <c r="F26" i="4"/>
  <c r="E27" i="4"/>
  <c r="F27" i="4"/>
  <c r="E28" i="4"/>
  <c r="F28" i="4"/>
  <c r="E29" i="4"/>
  <c r="F29" i="4"/>
  <c r="E30" i="4"/>
  <c r="F30" i="4"/>
  <c r="E25" i="4"/>
  <c r="E31" i="4" l="1"/>
  <c r="E34" i="4" s="1"/>
  <c r="F31" i="4"/>
  <c r="F34" i="4"/>
  <c r="C32" i="1"/>
  <c r="C33" i="1"/>
  <c r="C34" i="1"/>
  <c r="C35" i="1"/>
  <c r="C36" i="1"/>
  <c r="C37" i="1"/>
  <c r="C31" i="1"/>
  <c r="M37" i="1"/>
  <c r="L37" i="1"/>
  <c r="K37" i="1"/>
  <c r="J37" i="1"/>
  <c r="I37" i="1"/>
  <c r="H37" i="1"/>
  <c r="G37" i="1"/>
  <c r="F37" i="1"/>
  <c r="E37" i="1"/>
  <c r="D37" i="1"/>
  <c r="M36" i="1"/>
  <c r="L36" i="1"/>
  <c r="K36" i="1"/>
  <c r="J36" i="1"/>
  <c r="I36" i="1"/>
  <c r="H36" i="1"/>
  <c r="G36" i="1"/>
  <c r="F36" i="1"/>
  <c r="E36" i="1"/>
  <c r="D36" i="1"/>
  <c r="M35" i="1"/>
  <c r="L35" i="1"/>
  <c r="K35" i="1"/>
  <c r="J35" i="1"/>
  <c r="I35" i="1"/>
  <c r="H35" i="1"/>
  <c r="G35" i="1"/>
  <c r="F35" i="1"/>
  <c r="E35" i="1"/>
  <c r="D35" i="1"/>
  <c r="M34" i="1"/>
  <c r="L34" i="1"/>
  <c r="K34" i="1"/>
  <c r="J34" i="1"/>
  <c r="I34" i="1"/>
  <c r="H34" i="1"/>
  <c r="G34" i="1"/>
  <c r="F34" i="1"/>
  <c r="E34" i="1"/>
  <c r="D34" i="1"/>
  <c r="M33" i="1"/>
  <c r="L33" i="1"/>
  <c r="K33" i="1"/>
  <c r="J33" i="1"/>
  <c r="I33" i="1"/>
  <c r="H33" i="1"/>
  <c r="G33" i="1"/>
  <c r="F33" i="1"/>
  <c r="D33" i="1"/>
  <c r="M32" i="1"/>
  <c r="L32" i="1"/>
  <c r="K32" i="1"/>
  <c r="J32" i="1"/>
  <c r="I32" i="1"/>
  <c r="H32" i="1"/>
  <c r="G32" i="1"/>
  <c r="F32" i="1"/>
  <c r="D32" i="1"/>
  <c r="M31" i="1"/>
  <c r="L31" i="1"/>
  <c r="K31" i="1"/>
  <c r="J31" i="1"/>
  <c r="I31" i="1"/>
  <c r="H31" i="1"/>
  <c r="G31" i="1"/>
  <c r="F31" i="1"/>
  <c r="E31" i="1"/>
  <c r="D31" i="1"/>
  <c r="E33" i="2"/>
  <c r="F33" i="2"/>
  <c r="G33" i="2"/>
  <c r="H33" i="2"/>
  <c r="I33" i="2"/>
  <c r="J33" i="2"/>
  <c r="K33" i="2"/>
  <c r="L33" i="2"/>
  <c r="E34" i="2"/>
  <c r="F34" i="2"/>
  <c r="G34" i="2"/>
  <c r="H34" i="2"/>
  <c r="I34" i="2"/>
  <c r="J34" i="2"/>
  <c r="K34" i="2"/>
  <c r="L34" i="2"/>
  <c r="E35" i="2"/>
  <c r="F35" i="2"/>
  <c r="G35" i="2"/>
  <c r="H35" i="2"/>
  <c r="I35" i="2"/>
  <c r="J35" i="2"/>
  <c r="K35" i="2"/>
  <c r="L35" i="2"/>
  <c r="E36" i="2"/>
  <c r="F36" i="2"/>
  <c r="G36" i="2"/>
  <c r="H36" i="2"/>
  <c r="I36" i="2"/>
  <c r="J36" i="2"/>
  <c r="K36" i="2"/>
  <c r="L36" i="2"/>
  <c r="E37" i="2"/>
  <c r="F37" i="2"/>
  <c r="G37" i="2"/>
  <c r="H37" i="2"/>
  <c r="I37" i="2"/>
  <c r="S37" i="2" s="1"/>
  <c r="J37" i="2"/>
  <c r="K37" i="2"/>
  <c r="L37" i="2"/>
  <c r="L32" i="2"/>
  <c r="K32" i="2"/>
  <c r="J32" i="2"/>
  <c r="I32" i="2"/>
  <c r="F32" i="2"/>
  <c r="G32" i="2"/>
  <c r="G38" i="2" s="1"/>
  <c r="H32" i="2"/>
  <c r="E32" i="2"/>
  <c r="D33" i="2"/>
  <c r="D34" i="2"/>
  <c r="D35" i="2"/>
  <c r="D36" i="2"/>
  <c r="D37" i="2"/>
  <c r="D32" i="2"/>
  <c r="C33" i="2"/>
  <c r="C34" i="2"/>
  <c r="C36" i="2"/>
  <c r="C37" i="2"/>
  <c r="C32" i="2"/>
  <c r="L31" i="2"/>
  <c r="K31" i="2"/>
  <c r="J31" i="2"/>
  <c r="I31" i="2"/>
  <c r="H31" i="2"/>
  <c r="G31" i="2"/>
  <c r="F31" i="2"/>
  <c r="E31" i="2"/>
  <c r="D31" i="2"/>
  <c r="C31" i="2"/>
  <c r="G28" i="2"/>
  <c r="F28" i="2"/>
  <c r="G27" i="2"/>
  <c r="F27" i="2"/>
  <c r="G26" i="2"/>
  <c r="F26" i="2"/>
  <c r="G25" i="2"/>
  <c r="F25" i="2"/>
  <c r="G24" i="2"/>
  <c r="F24" i="2"/>
  <c r="G23" i="2"/>
  <c r="F23" i="2"/>
  <c r="G28" i="1"/>
  <c r="H28" i="1"/>
  <c r="H27" i="1"/>
  <c r="H26" i="1"/>
  <c r="H25" i="1"/>
  <c r="H24" i="1"/>
  <c r="H23" i="1"/>
  <c r="G27" i="1"/>
  <c r="G26" i="1"/>
  <c r="G25" i="1"/>
  <c r="G24" i="1"/>
  <c r="G23" i="1"/>
  <c r="K14" i="1"/>
  <c r="M36" i="2" l="1"/>
  <c r="O37" i="2"/>
  <c r="S36" i="2"/>
  <c r="M34" i="2"/>
  <c r="N37" i="2"/>
  <c r="N33" i="2"/>
  <c r="F38" i="2"/>
  <c r="O36" i="2"/>
  <c r="S35" i="2"/>
  <c r="O35" i="2"/>
  <c r="S34" i="2"/>
  <c r="O34" i="2"/>
  <c r="S33" i="2"/>
  <c r="O33" i="2"/>
  <c r="R37" i="2"/>
  <c r="R36" i="2"/>
  <c r="G29" i="1"/>
  <c r="N36" i="2"/>
  <c r="M35" i="2"/>
  <c r="N37" i="1"/>
  <c r="P37" i="1" s="1"/>
  <c r="N34" i="1"/>
  <c r="R35" i="2"/>
  <c r="R34" i="2"/>
  <c r="R33" i="2"/>
  <c r="F41" i="1"/>
  <c r="F40" i="1"/>
  <c r="F39" i="1"/>
  <c r="F42" i="1"/>
  <c r="J41" i="1"/>
  <c r="J42" i="1"/>
  <c r="J40" i="1"/>
  <c r="J39" i="1"/>
  <c r="C40" i="1"/>
  <c r="C41" i="1"/>
  <c r="C42" i="1"/>
  <c r="C39" i="1"/>
  <c r="M41" i="1"/>
  <c r="M40" i="1"/>
  <c r="M39" i="1"/>
  <c r="M42" i="1"/>
  <c r="H29" i="1"/>
  <c r="F30" i="2"/>
  <c r="M33" i="2"/>
  <c r="N35" i="2"/>
  <c r="H38" i="2"/>
  <c r="Q37" i="2"/>
  <c r="Q36" i="2"/>
  <c r="Q35" i="2"/>
  <c r="Q34" i="2"/>
  <c r="Q33" i="2"/>
  <c r="G38" i="1"/>
  <c r="G41" i="1"/>
  <c r="G42" i="1"/>
  <c r="G40" i="1"/>
  <c r="G39" i="1"/>
  <c r="K41" i="1"/>
  <c r="K40" i="1"/>
  <c r="K42" i="1"/>
  <c r="K39" i="1"/>
  <c r="N35" i="1"/>
  <c r="Q35" i="1" s="1"/>
  <c r="Z37" i="1"/>
  <c r="I41" i="1"/>
  <c r="I40" i="1"/>
  <c r="G30" i="2"/>
  <c r="N34" i="2"/>
  <c r="T37" i="2"/>
  <c r="P37" i="2"/>
  <c r="T36" i="2"/>
  <c r="P36" i="2"/>
  <c r="T35" i="2"/>
  <c r="P35" i="2"/>
  <c r="P38" i="2" s="1"/>
  <c r="T34" i="2"/>
  <c r="P34" i="2"/>
  <c r="T33" i="2"/>
  <c r="P33" i="2"/>
  <c r="D41" i="1"/>
  <c r="D39" i="1"/>
  <c r="D40" i="1"/>
  <c r="D42" i="1"/>
  <c r="H41" i="1"/>
  <c r="H40" i="1"/>
  <c r="H42" i="1"/>
  <c r="H39" i="1"/>
  <c r="L41" i="1"/>
  <c r="L42" i="1"/>
  <c r="L40" i="1"/>
  <c r="L39" i="1"/>
  <c r="X34" i="1"/>
  <c r="T34" i="1"/>
  <c r="P34" i="1"/>
  <c r="W34" i="1"/>
  <c r="S34" i="1"/>
  <c r="Q34" i="1"/>
  <c r="V34" i="1"/>
  <c r="R34" i="1"/>
  <c r="Y34" i="1"/>
  <c r="U34" i="1"/>
  <c r="U35" i="1"/>
  <c r="T35" i="1"/>
  <c r="S35" i="1"/>
  <c r="T37" i="1"/>
  <c r="N36" i="1"/>
  <c r="Z36" i="1" s="1"/>
  <c r="Q37" i="1"/>
  <c r="U37" i="1"/>
  <c r="Y37" i="1"/>
  <c r="Z34" i="1"/>
  <c r="R37" i="1"/>
  <c r="V37" i="1"/>
  <c r="X37" i="1"/>
  <c r="S37" i="1"/>
  <c r="W37" i="1"/>
  <c r="O38" i="2" l="1"/>
  <c r="R38" i="2"/>
  <c r="W35" i="1"/>
  <c r="X35" i="1"/>
  <c r="Y35" i="1"/>
  <c r="P35" i="1"/>
  <c r="V35" i="1"/>
  <c r="H43" i="1"/>
  <c r="R35" i="1"/>
  <c r="Z35" i="1"/>
  <c r="G43" i="1"/>
  <c r="V36" i="1"/>
  <c r="R36" i="1"/>
  <c r="P36" i="1"/>
  <c r="S36" i="1"/>
  <c r="Y36" i="1"/>
  <c r="U36" i="1"/>
  <c r="Q36" i="1"/>
  <c r="X36" i="1"/>
  <c r="T36" i="1"/>
  <c r="W36" i="1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G2" i="3"/>
  <c r="F2" i="3"/>
  <c r="F20" i="3" l="1"/>
  <c r="F23" i="3"/>
  <c r="G22" i="3"/>
  <c r="F25" i="3"/>
  <c r="G24" i="3"/>
  <c r="F21" i="3"/>
  <c r="G20" i="3"/>
  <c r="G25" i="3"/>
  <c r="F22" i="3"/>
  <c r="G21" i="3"/>
  <c r="F24" i="3"/>
  <c r="G23" i="3"/>
  <c r="W23" i="4"/>
  <c r="X23" i="4"/>
  <c r="Y23" i="4"/>
  <c r="V23" i="4"/>
  <c r="F26" i="3" l="1"/>
  <c r="F27" i="3" s="1"/>
  <c r="G26" i="3"/>
  <c r="G28" i="3"/>
  <c r="G27" i="3"/>
  <c r="F28" i="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AP6" i="4" l="1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5" i="4"/>
  <c r="N22" i="4" l="1"/>
  <c r="I42" i="4" s="1"/>
  <c r="K22" i="4"/>
  <c r="H42" i="4" s="1"/>
  <c r="F22" i="4"/>
  <c r="G42" i="4" s="1"/>
  <c r="N21" i="4"/>
  <c r="I41" i="4" s="1"/>
  <c r="K21" i="4"/>
  <c r="H41" i="4" s="1"/>
  <c r="F21" i="4"/>
  <c r="G41" i="4" s="1"/>
  <c r="N20" i="4"/>
  <c r="I40" i="4" s="1"/>
  <c r="K20" i="4"/>
  <c r="H40" i="4" s="1"/>
  <c r="F20" i="4"/>
  <c r="G40" i="4" s="1"/>
  <c r="N19" i="4"/>
  <c r="I39" i="4" s="1"/>
  <c r="K19" i="4"/>
  <c r="H39" i="4" s="1"/>
  <c r="F19" i="4"/>
  <c r="G39" i="4" s="1"/>
  <c r="N18" i="4"/>
  <c r="I38" i="4" s="1"/>
  <c r="K18" i="4"/>
  <c r="H38" i="4" s="1"/>
  <c r="E18" i="4"/>
  <c r="F18" i="4" s="1"/>
  <c r="G38" i="4" s="1"/>
  <c r="N17" i="4"/>
  <c r="I37" i="4" s="1"/>
  <c r="K17" i="4"/>
  <c r="H37" i="4" s="1"/>
  <c r="E17" i="4"/>
  <c r="F17" i="4" s="1"/>
  <c r="G37" i="4" s="1"/>
  <c r="N16" i="4"/>
  <c r="I36" i="4" s="1"/>
  <c r="K16" i="4"/>
  <c r="H36" i="4" s="1"/>
  <c r="F16" i="4"/>
  <c r="G36" i="4" s="1"/>
  <c r="N15" i="4"/>
  <c r="I35" i="4" s="1"/>
  <c r="K15" i="4"/>
  <c r="H35" i="4" s="1"/>
  <c r="F15" i="4"/>
  <c r="G35" i="4" s="1"/>
  <c r="N14" i="4"/>
  <c r="I34" i="4" s="1"/>
  <c r="K14" i="4"/>
  <c r="H34" i="4" s="1"/>
  <c r="F14" i="4"/>
  <c r="G34" i="4" s="1"/>
  <c r="N13" i="4"/>
  <c r="I33" i="4" s="1"/>
  <c r="K13" i="4"/>
  <c r="H33" i="4" s="1"/>
  <c r="F13" i="4"/>
  <c r="G33" i="4" s="1"/>
  <c r="N12" i="4"/>
  <c r="I32" i="4" s="1"/>
  <c r="K12" i="4"/>
  <c r="H32" i="4" s="1"/>
  <c r="E12" i="4"/>
  <c r="F12" i="4" s="1"/>
  <c r="G32" i="4" s="1"/>
  <c r="N11" i="4"/>
  <c r="I31" i="4" s="1"/>
  <c r="K11" i="4"/>
  <c r="H31" i="4" s="1"/>
  <c r="E11" i="4"/>
  <c r="F11" i="4" s="1"/>
  <c r="N10" i="4"/>
  <c r="I30" i="4" s="1"/>
  <c r="K10" i="4"/>
  <c r="H30" i="4" s="1"/>
  <c r="F10" i="4"/>
  <c r="N9" i="4"/>
  <c r="K9" i="4"/>
  <c r="H29" i="4" s="1"/>
  <c r="F9" i="4"/>
  <c r="N8" i="4"/>
  <c r="K8" i="4"/>
  <c r="F8" i="4"/>
  <c r="N7" i="4"/>
  <c r="I27" i="4" s="1"/>
  <c r="K7" i="4"/>
  <c r="F7" i="4"/>
  <c r="N6" i="4"/>
  <c r="I26" i="4" s="1"/>
  <c r="I45" i="4" s="1"/>
  <c r="K6" i="4"/>
  <c r="H26" i="4" s="1"/>
  <c r="E6" i="4"/>
  <c r="F6" i="4" s="1"/>
  <c r="N5" i="4"/>
  <c r="K5" i="4"/>
  <c r="H25" i="4" s="1"/>
  <c r="H44" i="4" s="1"/>
  <c r="E5" i="4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" i="3"/>
  <c r="AQ7" i="1"/>
  <c r="AQ6" i="1"/>
  <c r="AQ5" i="1"/>
  <c r="AQ4" i="1"/>
  <c r="AQ3" i="1"/>
  <c r="AQ2" i="1"/>
  <c r="C28" i="4" l="1"/>
  <c r="H28" i="4"/>
  <c r="H47" i="4" s="1"/>
  <c r="B26" i="4"/>
  <c r="G45" i="4"/>
  <c r="C27" i="4"/>
  <c r="H27" i="4"/>
  <c r="H46" i="4" s="1"/>
  <c r="D28" i="4"/>
  <c r="I28" i="4"/>
  <c r="I47" i="4" s="1"/>
  <c r="B30" i="4"/>
  <c r="G49" i="4"/>
  <c r="B27" i="4"/>
  <c r="G46" i="4"/>
  <c r="G44" i="4"/>
  <c r="H45" i="4"/>
  <c r="I46" i="4"/>
  <c r="G48" i="4"/>
  <c r="H49" i="4"/>
  <c r="D25" i="4"/>
  <c r="I25" i="4"/>
  <c r="I44" i="4" s="1"/>
  <c r="D29" i="4"/>
  <c r="I29" i="4"/>
  <c r="I48" i="4" s="1"/>
  <c r="G47" i="4"/>
  <c r="H48" i="4"/>
  <c r="I49" i="4"/>
  <c r="C26" i="4"/>
  <c r="D27" i="4"/>
  <c r="B29" i="4"/>
  <c r="C30" i="4"/>
  <c r="D26" i="4"/>
  <c r="B28" i="4"/>
  <c r="C29" i="4"/>
  <c r="D30" i="4"/>
  <c r="AR3" i="2"/>
  <c r="AT3" i="2" s="1"/>
  <c r="AR4" i="2"/>
  <c r="AR5" i="2"/>
  <c r="AR6" i="2"/>
  <c r="AR7" i="2"/>
  <c r="AR8" i="2"/>
  <c r="AR9" i="2"/>
  <c r="AR10" i="2"/>
  <c r="AR11" i="2"/>
  <c r="AT11" i="2" s="1"/>
  <c r="AR12" i="2"/>
  <c r="AT12" i="2" s="1"/>
  <c r="AR13" i="2"/>
  <c r="AR14" i="2"/>
  <c r="AR15" i="2"/>
  <c r="AT15" i="2" s="1"/>
  <c r="AR16" i="2"/>
  <c r="AR17" i="2"/>
  <c r="AR18" i="2"/>
  <c r="AR19" i="2"/>
  <c r="AT19" i="2" s="1"/>
  <c r="AR2" i="2"/>
  <c r="BB7" i="2"/>
  <c r="BB6" i="2"/>
  <c r="BB5" i="2"/>
  <c r="BB4" i="2"/>
  <c r="BB3" i="2"/>
  <c r="BB2" i="2"/>
  <c r="AZ3" i="2"/>
  <c r="AZ4" i="2"/>
  <c r="AZ5" i="2"/>
  <c r="AZ6" i="2"/>
  <c r="AZ7" i="2"/>
  <c r="AZ2" i="2"/>
  <c r="AT6" i="2"/>
  <c r="AT7" i="2"/>
  <c r="AM7" i="1"/>
  <c r="AM6" i="1"/>
  <c r="AM5" i="1"/>
  <c r="AM4" i="1"/>
  <c r="AM3" i="1"/>
  <c r="AL7" i="1"/>
  <c r="AL8" i="1" s="1"/>
  <c r="AL6" i="1"/>
  <c r="AL9" i="1" s="1"/>
  <c r="AL5" i="1"/>
  <c r="AL10" i="1" s="1"/>
  <c r="AL4" i="1"/>
  <c r="AL3" i="1"/>
  <c r="AK2" i="1"/>
  <c r="C31" i="4" l="1"/>
  <c r="BA4" i="2"/>
  <c r="D31" i="4"/>
  <c r="D34" i="4" s="1"/>
  <c r="AN9" i="3"/>
  <c r="N9" i="3"/>
  <c r="AN2" i="3"/>
  <c r="BA2" i="2"/>
  <c r="N2" i="3"/>
  <c r="AN8" i="3"/>
  <c r="N8" i="3"/>
  <c r="AN4" i="3"/>
  <c r="N4" i="3"/>
  <c r="B31" i="4"/>
  <c r="B34" i="4" s="1"/>
  <c r="AN13" i="3"/>
  <c r="N13" i="3"/>
  <c r="AN5" i="3"/>
  <c r="N5" i="3"/>
  <c r="AN16" i="3"/>
  <c r="N16" i="3"/>
  <c r="AN12" i="3"/>
  <c r="N12" i="3"/>
  <c r="AT5" i="2"/>
  <c r="AT16" i="2"/>
  <c r="AT8" i="2"/>
  <c r="BA5" i="2"/>
  <c r="AN19" i="3"/>
  <c r="N19" i="3"/>
  <c r="AN15" i="3"/>
  <c r="N15" i="3"/>
  <c r="AN11" i="3"/>
  <c r="N11" i="3"/>
  <c r="AN7" i="3"/>
  <c r="N7" i="3"/>
  <c r="AN3" i="3"/>
  <c r="N3" i="3"/>
  <c r="AN17" i="3"/>
  <c r="N17" i="3"/>
  <c r="AL11" i="1"/>
  <c r="AT2" i="2"/>
  <c r="AT4" i="2"/>
  <c r="AN18" i="3"/>
  <c r="N18" i="3"/>
  <c r="AN14" i="3"/>
  <c r="N14" i="3"/>
  <c r="AN10" i="3"/>
  <c r="N10" i="3"/>
  <c r="AN6" i="3"/>
  <c r="N6" i="3"/>
  <c r="AT18" i="2"/>
  <c r="BC6" i="2" s="1"/>
  <c r="AT14" i="2"/>
  <c r="AT17" i="2"/>
  <c r="AT13" i="2"/>
  <c r="AT9" i="2"/>
  <c r="BC3" i="2" s="1"/>
  <c r="BA6" i="2"/>
  <c r="BA9" i="2" s="1"/>
  <c r="AT10" i="2"/>
  <c r="BC7" i="2"/>
  <c r="BA3" i="2"/>
  <c r="BA7" i="2"/>
  <c r="BA8" i="2" s="1"/>
  <c r="AK7" i="1"/>
  <c r="AK3" i="1"/>
  <c r="AK4" i="1"/>
  <c r="AK5" i="1"/>
  <c r="AK6" i="1"/>
  <c r="BA10" i="2" l="1"/>
  <c r="BC4" i="2"/>
  <c r="BC5" i="2"/>
  <c r="BD8" i="2"/>
  <c r="V5" i="3"/>
  <c r="V7" i="3"/>
  <c r="V6" i="3"/>
  <c r="V4" i="3"/>
  <c r="V2" i="3"/>
  <c r="BA11" i="2"/>
  <c r="BC2" i="2"/>
  <c r="BC10" i="2" s="1"/>
  <c r="V3" i="3"/>
  <c r="K2" i="1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" i="2"/>
  <c r="Y3" i="1"/>
  <c r="Y4" i="1"/>
  <c r="AK4" i="3" s="1"/>
  <c r="Y5" i="1"/>
  <c r="Y6" i="1"/>
  <c r="Y7" i="1"/>
  <c r="Y8" i="1"/>
  <c r="AK8" i="3" s="1"/>
  <c r="Y9" i="1"/>
  <c r="Y10" i="1"/>
  <c r="Y11" i="1"/>
  <c r="Y12" i="1"/>
  <c r="AK12" i="3" s="1"/>
  <c r="Y13" i="1"/>
  <c r="Y14" i="1"/>
  <c r="Y15" i="1"/>
  <c r="Y16" i="1"/>
  <c r="Y17" i="1"/>
  <c r="Y18" i="1"/>
  <c r="Y19" i="1"/>
  <c r="Y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" i="1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" i="2"/>
  <c r="R2" i="2"/>
  <c r="T2" i="2"/>
  <c r="U2" i="2"/>
  <c r="V2" i="2"/>
  <c r="W2" i="2"/>
  <c r="Y2" i="2"/>
  <c r="Z2" i="2"/>
  <c r="AB2" i="2"/>
  <c r="AC2" i="2"/>
  <c r="R3" i="2"/>
  <c r="T3" i="2"/>
  <c r="U3" i="2"/>
  <c r="V3" i="2"/>
  <c r="W3" i="2"/>
  <c r="Y3" i="2"/>
  <c r="Z3" i="2"/>
  <c r="AB3" i="2"/>
  <c r="AC3" i="2"/>
  <c r="R4" i="2"/>
  <c r="T4" i="2"/>
  <c r="U4" i="2"/>
  <c r="V4" i="2"/>
  <c r="W4" i="2"/>
  <c r="Y4" i="2"/>
  <c r="Z4" i="2"/>
  <c r="AB4" i="2"/>
  <c r="AC4" i="2"/>
  <c r="R5" i="2"/>
  <c r="T5" i="2"/>
  <c r="U5" i="2"/>
  <c r="V5" i="2"/>
  <c r="W5" i="2"/>
  <c r="Y5" i="2"/>
  <c r="Z5" i="2"/>
  <c r="AB5" i="2"/>
  <c r="AC5" i="2"/>
  <c r="R6" i="2"/>
  <c r="T6" i="2"/>
  <c r="U6" i="2"/>
  <c r="V6" i="2"/>
  <c r="W6" i="2"/>
  <c r="Y6" i="2"/>
  <c r="Z6" i="2"/>
  <c r="AB6" i="2"/>
  <c r="AC6" i="2"/>
  <c r="R7" i="2"/>
  <c r="T7" i="2"/>
  <c r="U7" i="2"/>
  <c r="V7" i="2"/>
  <c r="W7" i="2"/>
  <c r="Y7" i="2"/>
  <c r="Z7" i="2"/>
  <c r="AB7" i="2"/>
  <c r="AC7" i="2"/>
  <c r="Q3" i="2"/>
  <c r="Q4" i="2"/>
  <c r="Q5" i="2"/>
  <c r="Q6" i="2"/>
  <c r="Q7" i="2"/>
  <c r="Q2" i="2"/>
  <c r="M19" i="2"/>
  <c r="M18" i="2"/>
  <c r="M17" i="2"/>
  <c r="M16" i="2"/>
  <c r="M15" i="2"/>
  <c r="M14" i="2"/>
  <c r="E19" i="2"/>
  <c r="AL19" i="2" s="1"/>
  <c r="E18" i="2"/>
  <c r="AL18" i="2" s="1"/>
  <c r="E17" i="2"/>
  <c r="AL17" i="2" s="1"/>
  <c r="E16" i="2"/>
  <c r="AL16" i="2" s="1"/>
  <c r="E15" i="2"/>
  <c r="AL15" i="2" s="1"/>
  <c r="E14" i="2"/>
  <c r="AL14" i="2" s="1"/>
  <c r="M13" i="2"/>
  <c r="M12" i="2"/>
  <c r="M11" i="2"/>
  <c r="M10" i="2"/>
  <c r="M9" i="2"/>
  <c r="M8" i="2"/>
  <c r="J19" i="2"/>
  <c r="J18" i="2"/>
  <c r="P18" i="2" s="1"/>
  <c r="J17" i="2"/>
  <c r="J16" i="2"/>
  <c r="J15" i="2"/>
  <c r="J14" i="2"/>
  <c r="J13" i="2"/>
  <c r="J12" i="2"/>
  <c r="J11" i="2"/>
  <c r="J10" i="2"/>
  <c r="J9" i="2"/>
  <c r="J8" i="2"/>
  <c r="E13" i="2"/>
  <c r="AL13" i="2" s="1"/>
  <c r="E12" i="2"/>
  <c r="AL12" i="2" s="1"/>
  <c r="E11" i="2"/>
  <c r="AL11" i="2" s="1"/>
  <c r="E10" i="2"/>
  <c r="AL10" i="2" s="1"/>
  <c r="E9" i="2"/>
  <c r="AL9" i="2" s="1"/>
  <c r="E8" i="2"/>
  <c r="AL8" i="2" s="1"/>
  <c r="M3" i="2"/>
  <c r="M4" i="2"/>
  <c r="M5" i="2"/>
  <c r="M6" i="2"/>
  <c r="M7" i="2"/>
  <c r="M2" i="2"/>
  <c r="J3" i="2"/>
  <c r="J4" i="2"/>
  <c r="J5" i="2"/>
  <c r="J6" i="2"/>
  <c r="J7" i="2"/>
  <c r="J2" i="2"/>
  <c r="E3" i="2"/>
  <c r="E4" i="2"/>
  <c r="E5" i="2"/>
  <c r="E6" i="2"/>
  <c r="E7" i="2"/>
  <c r="E2" i="2"/>
  <c r="N19" i="1"/>
  <c r="N18" i="1"/>
  <c r="E18" i="3" s="1"/>
  <c r="N17" i="1"/>
  <c r="N16" i="1"/>
  <c r="N15" i="1"/>
  <c r="N14" i="1"/>
  <c r="E14" i="3" s="1"/>
  <c r="K19" i="1"/>
  <c r="K18" i="1"/>
  <c r="K17" i="1"/>
  <c r="K16" i="1"/>
  <c r="D16" i="3" s="1"/>
  <c r="K15" i="1"/>
  <c r="F19" i="1"/>
  <c r="F18" i="1"/>
  <c r="F17" i="1"/>
  <c r="F16" i="1"/>
  <c r="E15" i="1"/>
  <c r="F15" i="1" s="1"/>
  <c r="E14" i="1"/>
  <c r="F14" i="1" s="1"/>
  <c r="K6" i="1"/>
  <c r="N13" i="1"/>
  <c r="E13" i="3" s="1"/>
  <c r="N12" i="1"/>
  <c r="E12" i="3" s="1"/>
  <c r="N11" i="1"/>
  <c r="E11" i="3" s="1"/>
  <c r="N10" i="1"/>
  <c r="E10" i="3" s="1"/>
  <c r="N9" i="1"/>
  <c r="E9" i="3" s="1"/>
  <c r="N8" i="1"/>
  <c r="E8" i="3" s="1"/>
  <c r="K13" i="1"/>
  <c r="K12" i="1"/>
  <c r="D12" i="3" s="1"/>
  <c r="K11" i="1"/>
  <c r="K10" i="1"/>
  <c r="K9" i="1"/>
  <c r="K8" i="1"/>
  <c r="D8" i="3" s="1"/>
  <c r="F13" i="1"/>
  <c r="F12" i="1"/>
  <c r="F11" i="1"/>
  <c r="F10" i="1"/>
  <c r="E9" i="1"/>
  <c r="F9" i="1" s="1"/>
  <c r="E8" i="1"/>
  <c r="F8" i="1" s="1"/>
  <c r="K4" i="1"/>
  <c r="E3" i="1"/>
  <c r="E2" i="1"/>
  <c r="N3" i="1"/>
  <c r="N4" i="1"/>
  <c r="N5" i="1"/>
  <c r="N6" i="1"/>
  <c r="N7" i="1"/>
  <c r="N2" i="1"/>
  <c r="K3" i="1"/>
  <c r="K5" i="1"/>
  <c r="K7" i="1"/>
  <c r="F4" i="1"/>
  <c r="F5" i="1"/>
  <c r="F6" i="1"/>
  <c r="F7" i="1"/>
  <c r="V10" i="3" l="1"/>
  <c r="D10" i="3"/>
  <c r="C15" i="3"/>
  <c r="E16" i="3"/>
  <c r="P2" i="2"/>
  <c r="V9" i="3"/>
  <c r="C14" i="3"/>
  <c r="C9" i="3"/>
  <c r="C13" i="3"/>
  <c r="D11" i="3"/>
  <c r="D15" i="3"/>
  <c r="D19" i="3"/>
  <c r="E17" i="3"/>
  <c r="D26" i="2"/>
  <c r="BC9" i="2"/>
  <c r="AL6" i="2"/>
  <c r="AO6" i="2" s="1"/>
  <c r="C27" i="2"/>
  <c r="X2" i="2"/>
  <c r="D23" i="2"/>
  <c r="X4" i="2"/>
  <c r="D25" i="2"/>
  <c r="AA6" i="2"/>
  <c r="E27" i="2"/>
  <c r="P14" i="2"/>
  <c r="D14" i="3"/>
  <c r="K3" i="3"/>
  <c r="K7" i="3"/>
  <c r="K11" i="3"/>
  <c r="K15" i="3"/>
  <c r="K19" i="3"/>
  <c r="K23" i="3"/>
  <c r="K10" i="3"/>
  <c r="K4" i="3"/>
  <c r="K8" i="3"/>
  <c r="K12" i="3"/>
  <c r="K16" i="3"/>
  <c r="K20" i="3"/>
  <c r="K24" i="3"/>
  <c r="K14" i="3"/>
  <c r="K2" i="3"/>
  <c r="K5" i="3"/>
  <c r="K9" i="3"/>
  <c r="K13" i="3"/>
  <c r="K17" i="3"/>
  <c r="K21" i="3"/>
  <c r="K25" i="3"/>
  <c r="K6" i="3"/>
  <c r="K18" i="3"/>
  <c r="K22" i="3"/>
  <c r="E23" i="1"/>
  <c r="D2" i="3"/>
  <c r="BC8" i="2"/>
  <c r="BC11" i="2" s="1"/>
  <c r="S6" i="1"/>
  <c r="U6" i="1" s="1"/>
  <c r="D27" i="1"/>
  <c r="C6" i="3"/>
  <c r="F27" i="1"/>
  <c r="E6" i="3"/>
  <c r="E24" i="3" s="1"/>
  <c r="F2" i="1"/>
  <c r="E32" i="1"/>
  <c r="AA3" i="2"/>
  <c r="E24" i="2"/>
  <c r="F26" i="1"/>
  <c r="E5" i="3"/>
  <c r="F23" i="1"/>
  <c r="E2" i="3"/>
  <c r="E20" i="3" s="1"/>
  <c r="F25" i="1"/>
  <c r="E4" i="3"/>
  <c r="E25" i="1"/>
  <c r="D4" i="3"/>
  <c r="D22" i="3" s="1"/>
  <c r="C11" i="3"/>
  <c r="D9" i="3"/>
  <c r="D13" i="3"/>
  <c r="S18" i="1"/>
  <c r="U18" i="1" s="1"/>
  <c r="AH18" i="1" s="1"/>
  <c r="C18" i="3"/>
  <c r="D17" i="3"/>
  <c r="E15" i="3"/>
  <c r="E19" i="3"/>
  <c r="X7" i="2"/>
  <c r="D28" i="2"/>
  <c r="X3" i="2"/>
  <c r="D24" i="2"/>
  <c r="AA5" i="2"/>
  <c r="E26" i="2"/>
  <c r="P15" i="2"/>
  <c r="P19" i="2"/>
  <c r="AJ17" i="3"/>
  <c r="AJ13" i="3"/>
  <c r="AJ9" i="3"/>
  <c r="AJ5" i="3"/>
  <c r="AK19" i="3"/>
  <c r="AK15" i="3"/>
  <c r="AK11" i="3"/>
  <c r="AK7" i="3"/>
  <c r="AK3" i="3"/>
  <c r="V8" i="3"/>
  <c r="V11" i="3" s="1"/>
  <c r="E26" i="1"/>
  <c r="D5" i="3"/>
  <c r="AL7" i="2"/>
  <c r="C28" i="2"/>
  <c r="AL3" i="2"/>
  <c r="AM3" i="2" s="1"/>
  <c r="C24" i="2"/>
  <c r="AA7" i="2"/>
  <c r="E28" i="2"/>
  <c r="E24" i="1"/>
  <c r="D3" i="3"/>
  <c r="F3" i="1"/>
  <c r="E33" i="1"/>
  <c r="E27" i="1"/>
  <c r="D6" i="3"/>
  <c r="D28" i="1"/>
  <c r="C7" i="3"/>
  <c r="E28" i="1"/>
  <c r="D7" i="3"/>
  <c r="F28" i="1"/>
  <c r="E7" i="3"/>
  <c r="F24" i="1"/>
  <c r="E3" i="3"/>
  <c r="S8" i="1"/>
  <c r="C8" i="3"/>
  <c r="S12" i="1"/>
  <c r="U12" i="1" s="1"/>
  <c r="C12" i="3"/>
  <c r="Z19" i="1"/>
  <c r="C19" i="3"/>
  <c r="D18" i="3"/>
  <c r="AL2" i="2"/>
  <c r="AO2" i="2" s="1"/>
  <c r="C23" i="2"/>
  <c r="AL4" i="2"/>
  <c r="AO4" i="2" s="1"/>
  <c r="C25" i="2"/>
  <c r="X6" i="2"/>
  <c r="D27" i="2"/>
  <c r="D29" i="2" s="1"/>
  <c r="AA2" i="2"/>
  <c r="E23" i="2"/>
  <c r="AA4" i="2"/>
  <c r="E25" i="2"/>
  <c r="P16" i="2"/>
  <c r="T20" i="1"/>
  <c r="J3" i="3"/>
  <c r="J7" i="3"/>
  <c r="J11" i="3"/>
  <c r="J15" i="3"/>
  <c r="J19" i="3"/>
  <c r="J23" i="3"/>
  <c r="J14" i="3"/>
  <c r="J4" i="3"/>
  <c r="J8" i="3"/>
  <c r="J12" i="3"/>
  <c r="J16" i="3"/>
  <c r="J20" i="3"/>
  <c r="J28" i="3" s="1"/>
  <c r="J24" i="3"/>
  <c r="J10" i="3"/>
  <c r="J22" i="3"/>
  <c r="J5" i="3"/>
  <c r="J9" i="3"/>
  <c r="J13" i="3"/>
  <c r="J17" i="3"/>
  <c r="J21" i="3"/>
  <c r="J25" i="3"/>
  <c r="J6" i="3"/>
  <c r="J18" i="3"/>
  <c r="J2" i="3"/>
  <c r="AK18" i="3"/>
  <c r="AK14" i="3"/>
  <c r="AK10" i="3"/>
  <c r="AK6" i="3"/>
  <c r="AN2" i="2"/>
  <c r="BD9" i="2"/>
  <c r="AL5" i="2"/>
  <c r="AO5" i="2" s="1"/>
  <c r="C26" i="2"/>
  <c r="Z17" i="1"/>
  <c r="AA17" i="1" s="1"/>
  <c r="AJ17" i="1" s="1"/>
  <c r="C17" i="3"/>
  <c r="S16" i="1"/>
  <c r="U16" i="1" s="1"/>
  <c r="C16" i="3"/>
  <c r="S10" i="1"/>
  <c r="U10" i="1" s="1"/>
  <c r="AH10" i="1" s="1"/>
  <c r="C10" i="3"/>
  <c r="D26" i="1"/>
  <c r="C5" i="3"/>
  <c r="S4" i="1"/>
  <c r="D25" i="1"/>
  <c r="C4" i="3"/>
  <c r="AJ2" i="3"/>
  <c r="AJ16" i="3"/>
  <c r="AJ12" i="3"/>
  <c r="AJ8" i="3"/>
  <c r="AJ4" i="3"/>
  <c r="AO7" i="2"/>
  <c r="X5" i="2"/>
  <c r="P17" i="2"/>
  <c r="AJ19" i="3"/>
  <c r="AJ15" i="3"/>
  <c r="AJ11" i="3"/>
  <c r="AJ7" i="3"/>
  <c r="AJ3" i="3"/>
  <c r="AK17" i="3"/>
  <c r="AK13" i="3"/>
  <c r="AK9" i="3"/>
  <c r="AK5" i="3"/>
  <c r="AI2" i="2"/>
  <c r="AJ18" i="3"/>
  <c r="AJ14" i="3"/>
  <c r="AJ10" i="3"/>
  <c r="AJ6" i="3"/>
  <c r="U8" i="1"/>
  <c r="AA19" i="1"/>
  <c r="AJ19" i="1" s="1"/>
  <c r="AL19" i="3"/>
  <c r="AB2" i="1"/>
  <c r="AK2" i="3"/>
  <c r="AB4" i="1"/>
  <c r="AK16" i="3"/>
  <c r="AI6" i="2"/>
  <c r="AI4" i="2"/>
  <c r="AN6" i="2"/>
  <c r="AN4" i="2"/>
  <c r="AI7" i="2"/>
  <c r="AI5" i="2"/>
  <c r="AI3" i="2"/>
  <c r="AN7" i="2"/>
  <c r="AN5" i="2"/>
  <c r="AN3" i="2"/>
  <c r="AB6" i="1"/>
  <c r="Z12" i="1"/>
  <c r="Z6" i="1"/>
  <c r="AB7" i="1"/>
  <c r="AB5" i="1"/>
  <c r="AB3" i="1"/>
  <c r="Z10" i="1"/>
  <c r="AL10" i="3" s="1"/>
  <c r="Z4" i="1"/>
  <c r="AL4" i="3" s="1"/>
  <c r="Z9" i="1"/>
  <c r="S9" i="1"/>
  <c r="S14" i="1"/>
  <c r="Z14" i="1"/>
  <c r="AL14" i="3" s="1"/>
  <c r="R14" i="1"/>
  <c r="Z7" i="1"/>
  <c r="AL7" i="3" s="1"/>
  <c r="S7" i="1"/>
  <c r="U7" i="1" s="1"/>
  <c r="R18" i="1"/>
  <c r="H18" i="3" s="1"/>
  <c r="W6" i="1"/>
  <c r="W4" i="1"/>
  <c r="Z18" i="1"/>
  <c r="AL18" i="3" s="1"/>
  <c r="Z5" i="1"/>
  <c r="S5" i="1"/>
  <c r="U5" i="1" s="1"/>
  <c r="Z3" i="1"/>
  <c r="AL3" i="3" s="1"/>
  <c r="S3" i="1"/>
  <c r="U3" i="1" s="1"/>
  <c r="Z15" i="1"/>
  <c r="S15" i="1"/>
  <c r="R15" i="1"/>
  <c r="H15" i="3" s="1"/>
  <c r="Z11" i="1"/>
  <c r="S11" i="1"/>
  <c r="Z13" i="1"/>
  <c r="S13" i="1"/>
  <c r="R9" i="1"/>
  <c r="R11" i="1"/>
  <c r="R13" i="1"/>
  <c r="R16" i="1"/>
  <c r="H16" i="3" s="1"/>
  <c r="W7" i="1"/>
  <c r="W5" i="1"/>
  <c r="W3" i="1"/>
  <c r="AA10" i="1"/>
  <c r="AJ10" i="1" s="1"/>
  <c r="Z16" i="1"/>
  <c r="Z8" i="1"/>
  <c r="R8" i="1"/>
  <c r="R10" i="1"/>
  <c r="R12" i="1"/>
  <c r="R17" i="1"/>
  <c r="R19" i="1"/>
  <c r="W2" i="1"/>
  <c r="S19" i="1"/>
  <c r="S17" i="1"/>
  <c r="AM18" i="2"/>
  <c r="AM16" i="2"/>
  <c r="AM14" i="2"/>
  <c r="AM12" i="2"/>
  <c r="AM10" i="2"/>
  <c r="AM8" i="2"/>
  <c r="AM19" i="2"/>
  <c r="AM17" i="2"/>
  <c r="AM15" i="2"/>
  <c r="AM13" i="2"/>
  <c r="AM11" i="2"/>
  <c r="AM9" i="2"/>
  <c r="P6" i="2"/>
  <c r="P4" i="2"/>
  <c r="P8" i="2"/>
  <c r="P10" i="2"/>
  <c r="P12" i="2"/>
  <c r="S6" i="2"/>
  <c r="S4" i="2"/>
  <c r="S2" i="2"/>
  <c r="AE2" i="2"/>
  <c r="AE18" i="2"/>
  <c r="AG18" i="2" s="1"/>
  <c r="AE16" i="2"/>
  <c r="AG16" i="2" s="1"/>
  <c r="AE14" i="2"/>
  <c r="AG14" i="2" s="1"/>
  <c r="AE12" i="2"/>
  <c r="AG12" i="2" s="1"/>
  <c r="AE10" i="2"/>
  <c r="AG10" i="2" s="1"/>
  <c r="AE8" i="2"/>
  <c r="AG8" i="2" s="1"/>
  <c r="AE6" i="2"/>
  <c r="AE4" i="2"/>
  <c r="AM6" i="2"/>
  <c r="AM4" i="2"/>
  <c r="P7" i="2"/>
  <c r="P5" i="2"/>
  <c r="P3" i="2"/>
  <c r="P9" i="2"/>
  <c r="P11" i="2"/>
  <c r="P13" i="2"/>
  <c r="S7" i="2"/>
  <c r="S5" i="2"/>
  <c r="S3" i="2"/>
  <c r="AE19" i="2"/>
  <c r="AG19" i="2" s="1"/>
  <c r="AE17" i="2"/>
  <c r="AG17" i="2" s="1"/>
  <c r="AE15" i="2"/>
  <c r="AG15" i="2" s="1"/>
  <c r="AE13" i="2"/>
  <c r="AG13" i="2" s="1"/>
  <c r="AE11" i="2"/>
  <c r="AG11" i="2" s="1"/>
  <c r="AE9" i="2"/>
  <c r="AG9" i="2" s="1"/>
  <c r="AE7" i="2"/>
  <c r="AE5" i="2"/>
  <c r="AE3" i="2"/>
  <c r="AM7" i="2"/>
  <c r="AM5" i="2"/>
  <c r="R4" i="1"/>
  <c r="R6" i="1"/>
  <c r="R7" i="1"/>
  <c r="R5" i="1"/>
  <c r="R3" i="1"/>
  <c r="H14" i="3" l="1"/>
  <c r="E22" i="3"/>
  <c r="H4" i="3"/>
  <c r="AL5" i="3"/>
  <c r="H5" i="3"/>
  <c r="AL6" i="3"/>
  <c r="V4" i="1"/>
  <c r="AA6" i="1"/>
  <c r="AJ6" i="1" s="1"/>
  <c r="AP6" i="1" s="1"/>
  <c r="AA18" i="1"/>
  <c r="AJ18" i="1" s="1"/>
  <c r="H13" i="3"/>
  <c r="AL17" i="3"/>
  <c r="AI4" i="3"/>
  <c r="H19" i="3"/>
  <c r="H8" i="3"/>
  <c r="H25" i="2"/>
  <c r="M25" i="2" s="1"/>
  <c r="AM12" i="3"/>
  <c r="AQ12" i="3" s="1"/>
  <c r="U4" i="1"/>
  <c r="H6" i="3"/>
  <c r="AA3" i="1"/>
  <c r="AJ3" i="1" s="1"/>
  <c r="E25" i="3"/>
  <c r="E23" i="3"/>
  <c r="H7" i="3"/>
  <c r="H25" i="3" s="1"/>
  <c r="AI6" i="3"/>
  <c r="C29" i="2"/>
  <c r="AM2" i="2"/>
  <c r="J26" i="3"/>
  <c r="J27" i="3" s="1"/>
  <c r="H17" i="3"/>
  <c r="AM8" i="3"/>
  <c r="AP8" i="3" s="1"/>
  <c r="C25" i="3"/>
  <c r="N33" i="1"/>
  <c r="R33" i="1" s="1"/>
  <c r="H28" i="2"/>
  <c r="E26" i="3"/>
  <c r="E27" i="3" s="1"/>
  <c r="H27" i="2"/>
  <c r="K27" i="2" s="1"/>
  <c r="L30" i="1"/>
  <c r="K29" i="1"/>
  <c r="F29" i="1"/>
  <c r="H3" i="3"/>
  <c r="H12" i="3"/>
  <c r="V6" i="1"/>
  <c r="AI17" i="2"/>
  <c r="AI15" i="2"/>
  <c r="AI16" i="2"/>
  <c r="AI14" i="2"/>
  <c r="AO3" i="2"/>
  <c r="C30" i="2"/>
  <c r="H23" i="2"/>
  <c r="I28" i="1"/>
  <c r="M28" i="1" s="1"/>
  <c r="D24" i="1"/>
  <c r="C3" i="3"/>
  <c r="C21" i="3" s="1"/>
  <c r="K30" i="1"/>
  <c r="E41" i="1"/>
  <c r="E42" i="1"/>
  <c r="E40" i="1"/>
  <c r="E39" i="1"/>
  <c r="C24" i="3"/>
  <c r="D20" i="3"/>
  <c r="K29" i="2"/>
  <c r="E30" i="2"/>
  <c r="W17" i="1"/>
  <c r="W15" i="1"/>
  <c r="W14" i="1"/>
  <c r="W16" i="1"/>
  <c r="H10" i="3"/>
  <c r="H22" i="3" s="1"/>
  <c r="H9" i="3"/>
  <c r="AN14" i="2"/>
  <c r="AN16" i="2"/>
  <c r="AN17" i="2"/>
  <c r="AN15" i="2"/>
  <c r="AO14" i="2"/>
  <c r="AO17" i="2"/>
  <c r="AO15" i="2"/>
  <c r="AO16" i="2"/>
  <c r="E21" i="3"/>
  <c r="D25" i="3"/>
  <c r="D24" i="3"/>
  <c r="D21" i="3"/>
  <c r="H24" i="2"/>
  <c r="D23" i="3"/>
  <c r="E28" i="3"/>
  <c r="Z2" i="1"/>
  <c r="AC2" i="1" s="1"/>
  <c r="S2" i="1"/>
  <c r="U2" i="1" s="1"/>
  <c r="R2" i="1"/>
  <c r="D23" i="1"/>
  <c r="C2" i="3"/>
  <c r="C20" i="3" s="1"/>
  <c r="I27" i="1"/>
  <c r="K27" i="1" s="1"/>
  <c r="E29" i="1"/>
  <c r="A31" i="2"/>
  <c r="A32" i="2"/>
  <c r="A34" i="2"/>
  <c r="D30" i="2"/>
  <c r="A33" i="2"/>
  <c r="H11" i="3"/>
  <c r="H26" i="2"/>
  <c r="AA7" i="1"/>
  <c r="AI18" i="1"/>
  <c r="AI10" i="1"/>
  <c r="C23" i="3"/>
  <c r="C26" i="3" s="1"/>
  <c r="C22" i="3"/>
  <c r="AH16" i="1"/>
  <c r="AI16" i="1"/>
  <c r="I26" i="1"/>
  <c r="I25" i="1"/>
  <c r="AA4" i="1"/>
  <c r="AC4" i="1"/>
  <c r="AA14" i="1"/>
  <c r="AJ14" i="1" s="1"/>
  <c r="AI8" i="1"/>
  <c r="AI16" i="3"/>
  <c r="AI10" i="3"/>
  <c r="AM18" i="3"/>
  <c r="AR18" i="3" s="1"/>
  <c r="AH8" i="1"/>
  <c r="AI12" i="1"/>
  <c r="AI5" i="3"/>
  <c r="AI7" i="3"/>
  <c r="AM16" i="3"/>
  <c r="AQ16" i="3" s="1"/>
  <c r="AM10" i="3"/>
  <c r="AQ10" i="3" s="1"/>
  <c r="AI3" i="3"/>
  <c r="AH12" i="1"/>
  <c r="AI18" i="3"/>
  <c r="AI12" i="3"/>
  <c r="AI8" i="3"/>
  <c r="U17" i="1"/>
  <c r="AM17" i="3" s="1"/>
  <c r="AI17" i="3"/>
  <c r="AA16" i="1"/>
  <c r="AJ16" i="1" s="1"/>
  <c r="AL16" i="3"/>
  <c r="U13" i="1"/>
  <c r="AM13" i="3" s="1"/>
  <c r="AI13" i="3"/>
  <c r="U11" i="1"/>
  <c r="AM11" i="3" s="1"/>
  <c r="AI11" i="3"/>
  <c r="AA15" i="1"/>
  <c r="AJ15" i="1" s="1"/>
  <c r="AL15" i="3"/>
  <c r="U9" i="1"/>
  <c r="AM9" i="3" s="1"/>
  <c r="AI9" i="3"/>
  <c r="AA12" i="1"/>
  <c r="AJ12" i="1" s="1"/>
  <c r="AL12" i="3"/>
  <c r="AA5" i="1"/>
  <c r="AJ5" i="1" s="1"/>
  <c r="U19" i="1"/>
  <c r="AM19" i="3" s="1"/>
  <c r="AI19" i="3"/>
  <c r="AL8" i="3"/>
  <c r="AA13" i="1"/>
  <c r="AJ13" i="1" s="1"/>
  <c r="AL13" i="3"/>
  <c r="AA11" i="1"/>
  <c r="AJ11" i="1" s="1"/>
  <c r="AL11" i="3"/>
  <c r="U15" i="1"/>
  <c r="AM15" i="3" s="1"/>
  <c r="AI15" i="3"/>
  <c r="U14" i="1"/>
  <c r="AH14" i="1" s="1"/>
  <c r="AI14" i="3"/>
  <c r="AA9" i="1"/>
  <c r="AJ9" i="1" s="1"/>
  <c r="AL9" i="3"/>
  <c r="AQ8" i="3"/>
  <c r="AP3" i="2"/>
  <c r="AV3" i="2"/>
  <c r="AU3" i="2"/>
  <c r="AP7" i="2"/>
  <c r="AV7" i="2"/>
  <c r="AU7" i="2"/>
  <c r="AP6" i="2"/>
  <c r="AV6" i="2"/>
  <c r="AU6" i="2"/>
  <c r="AV9" i="2"/>
  <c r="AU9" i="2"/>
  <c r="AV13" i="2"/>
  <c r="AU13" i="2"/>
  <c r="AV17" i="2"/>
  <c r="AU17" i="2"/>
  <c r="AV8" i="2"/>
  <c r="AU8" i="2"/>
  <c r="AV12" i="2"/>
  <c r="AU12" i="2"/>
  <c r="AV16" i="2"/>
  <c r="AU16" i="2"/>
  <c r="AP5" i="2"/>
  <c r="AV5" i="2"/>
  <c r="AU5" i="2"/>
  <c r="AP4" i="2"/>
  <c r="AV4" i="2"/>
  <c r="AU4" i="2"/>
  <c r="AP2" i="2"/>
  <c r="AV2" i="2"/>
  <c r="AU2" i="2"/>
  <c r="AV11" i="2"/>
  <c r="AU11" i="2"/>
  <c r="AV15" i="2"/>
  <c r="AU15" i="2"/>
  <c r="AV19" i="2"/>
  <c r="AU19" i="2"/>
  <c r="AV10" i="2"/>
  <c r="AU10" i="2"/>
  <c r="AV14" i="2"/>
  <c r="AU14" i="2"/>
  <c r="AV18" i="2"/>
  <c r="AU18" i="2"/>
  <c r="AC6" i="1"/>
  <c r="AC5" i="1"/>
  <c r="X6" i="1"/>
  <c r="W12" i="1" s="1"/>
  <c r="AH6" i="1"/>
  <c r="AN6" i="1" s="1"/>
  <c r="AI6" i="1"/>
  <c r="AO6" i="1" s="1"/>
  <c r="AC3" i="1"/>
  <c r="V7" i="1"/>
  <c r="AI5" i="1"/>
  <c r="AH5" i="1"/>
  <c r="X4" i="1"/>
  <c r="W10" i="1" s="1"/>
  <c r="AH4" i="1"/>
  <c r="AI4" i="1"/>
  <c r="AI3" i="1"/>
  <c r="AH3" i="1"/>
  <c r="AI7" i="1"/>
  <c r="AH7" i="1"/>
  <c r="AA8" i="1"/>
  <c r="AJ8" i="1" s="1"/>
  <c r="AH15" i="1"/>
  <c r="V3" i="1"/>
  <c r="V5" i="1"/>
  <c r="AC7" i="1"/>
  <c r="AH5" i="2"/>
  <c r="AG5" i="2"/>
  <c r="AJ5" i="2" s="1"/>
  <c r="AD3" i="2"/>
  <c r="AD7" i="2"/>
  <c r="AH4" i="2"/>
  <c r="AG4" i="2"/>
  <c r="AJ4" i="2" s="1"/>
  <c r="AH2" i="2"/>
  <c r="AG2" i="2"/>
  <c r="AJ2" i="2" s="1"/>
  <c r="AD6" i="2"/>
  <c r="AH3" i="2"/>
  <c r="AG3" i="2"/>
  <c r="AJ3" i="2" s="1"/>
  <c r="AH7" i="2"/>
  <c r="AG7" i="2"/>
  <c r="AJ7" i="2" s="1"/>
  <c r="AD5" i="2"/>
  <c r="AH6" i="2"/>
  <c r="AG6" i="2"/>
  <c r="AJ6" i="2" s="1"/>
  <c r="AD4" i="2"/>
  <c r="AD2" i="2"/>
  <c r="AR12" i="3" l="1"/>
  <c r="AH13" i="1"/>
  <c r="AR8" i="3"/>
  <c r="AP12" i="3"/>
  <c r="AI2" i="3"/>
  <c r="N25" i="2"/>
  <c r="V2" i="1"/>
  <c r="AH9" i="1"/>
  <c r="AN3" i="1" s="1"/>
  <c r="AN4" i="1"/>
  <c r="AI11" i="1"/>
  <c r="C27" i="3"/>
  <c r="H29" i="2"/>
  <c r="I29" i="2" s="1"/>
  <c r="K28" i="1"/>
  <c r="K25" i="2"/>
  <c r="X3" i="1"/>
  <c r="W9" i="1" s="1"/>
  <c r="H23" i="3"/>
  <c r="L25" i="2"/>
  <c r="AM4" i="3"/>
  <c r="AQ4" i="3" s="1"/>
  <c r="H24" i="3"/>
  <c r="AP16" i="2"/>
  <c r="AD7" i="1"/>
  <c r="J24" i="2"/>
  <c r="E39" i="2"/>
  <c r="AI9" i="1"/>
  <c r="AJ7" i="1"/>
  <c r="AP7" i="1" s="1"/>
  <c r="AJ16" i="2"/>
  <c r="V12" i="1"/>
  <c r="V10" i="1"/>
  <c r="AH11" i="1"/>
  <c r="C28" i="3"/>
  <c r="K23" i="2"/>
  <c r="L23" i="2"/>
  <c r="J23" i="2"/>
  <c r="O27" i="1"/>
  <c r="N27" i="1"/>
  <c r="S20" i="1"/>
  <c r="I3" i="3"/>
  <c r="I7" i="3"/>
  <c r="I11" i="3"/>
  <c r="I15" i="3"/>
  <c r="I19" i="3"/>
  <c r="I23" i="3"/>
  <c r="I6" i="3"/>
  <c r="I18" i="3"/>
  <c r="I4" i="3"/>
  <c r="I8" i="3"/>
  <c r="I12" i="3"/>
  <c r="I16" i="3"/>
  <c r="I20" i="3"/>
  <c r="I24" i="3"/>
  <c r="I10" i="3"/>
  <c r="I22" i="3"/>
  <c r="I5" i="3"/>
  <c r="I9" i="3"/>
  <c r="I13" i="3"/>
  <c r="I17" i="3"/>
  <c r="I21" i="3"/>
  <c r="I25" i="3"/>
  <c r="I14" i="3"/>
  <c r="I2" i="3"/>
  <c r="I24" i="1"/>
  <c r="K24" i="1" s="1"/>
  <c r="M27" i="1"/>
  <c r="P33" i="1"/>
  <c r="Q33" i="1"/>
  <c r="Y33" i="1"/>
  <c r="W33" i="1"/>
  <c r="X33" i="1"/>
  <c r="V33" i="1"/>
  <c r="Z33" i="1"/>
  <c r="U33" i="1"/>
  <c r="T33" i="1"/>
  <c r="S33" i="1"/>
  <c r="AH17" i="2"/>
  <c r="AH15" i="2"/>
  <c r="AH14" i="2"/>
  <c r="AH16" i="2"/>
  <c r="R20" i="1"/>
  <c r="M6" i="3"/>
  <c r="M10" i="3"/>
  <c r="M14" i="3"/>
  <c r="M18" i="3"/>
  <c r="M22" i="3"/>
  <c r="M2" i="3"/>
  <c r="M3" i="3"/>
  <c r="M7" i="3"/>
  <c r="M11" i="3"/>
  <c r="M15" i="3"/>
  <c r="M19" i="3"/>
  <c r="M23" i="3"/>
  <c r="M9" i="3"/>
  <c r="M17" i="3"/>
  <c r="M25" i="3"/>
  <c r="M4" i="3"/>
  <c r="M8" i="3"/>
  <c r="M12" i="3"/>
  <c r="M16" i="3"/>
  <c r="M20" i="3"/>
  <c r="M24" i="3"/>
  <c r="M5" i="3"/>
  <c r="M13" i="3"/>
  <c r="M21" i="3"/>
  <c r="H2" i="3"/>
  <c r="H20" i="3" s="1"/>
  <c r="M24" i="2"/>
  <c r="N24" i="2"/>
  <c r="AL2" i="3"/>
  <c r="L2" i="3"/>
  <c r="L3" i="3"/>
  <c r="L7" i="3"/>
  <c r="L11" i="3"/>
  <c r="L15" i="3"/>
  <c r="L19" i="3"/>
  <c r="L23" i="3"/>
  <c r="L6" i="3"/>
  <c r="L18" i="3"/>
  <c r="L4" i="3"/>
  <c r="L8" i="3"/>
  <c r="L12" i="3"/>
  <c r="L16" i="3"/>
  <c r="L20" i="3"/>
  <c r="L24" i="3"/>
  <c r="L10" i="3"/>
  <c r="L5" i="3"/>
  <c r="L9" i="3"/>
  <c r="L13" i="3"/>
  <c r="L17" i="3"/>
  <c r="L21" i="3"/>
  <c r="L25" i="3"/>
  <c r="L14" i="3"/>
  <c r="L22" i="3"/>
  <c r="AA2" i="1"/>
  <c r="AJ2" i="1" s="1"/>
  <c r="AP2" i="1" s="1"/>
  <c r="K24" i="2"/>
  <c r="R32" i="1"/>
  <c r="N41" i="1"/>
  <c r="N42" i="1"/>
  <c r="N40" i="1"/>
  <c r="N39" i="1"/>
  <c r="P32" i="1"/>
  <c r="S32" i="1"/>
  <c r="Q32" i="1"/>
  <c r="T32" i="1"/>
  <c r="W32" i="1"/>
  <c r="X32" i="1"/>
  <c r="U32" i="1"/>
  <c r="Z32" i="1"/>
  <c r="V32" i="1"/>
  <c r="Y32" i="1"/>
  <c r="N23" i="2"/>
  <c r="J28" i="2"/>
  <c r="J25" i="2"/>
  <c r="O25" i="2" s="1"/>
  <c r="J26" i="2"/>
  <c r="J27" i="2"/>
  <c r="M23" i="2"/>
  <c r="V14" i="1"/>
  <c r="V17" i="1"/>
  <c r="V16" i="1"/>
  <c r="V15" i="1"/>
  <c r="D28" i="3"/>
  <c r="F39" i="2"/>
  <c r="H40" i="2"/>
  <c r="D29" i="1"/>
  <c r="I23" i="1"/>
  <c r="L24" i="2"/>
  <c r="D26" i="3"/>
  <c r="D27" i="3" s="1"/>
  <c r="X16" i="1"/>
  <c r="L28" i="1"/>
  <c r="N28" i="1"/>
  <c r="O28" i="1"/>
  <c r="H21" i="3"/>
  <c r="L27" i="2"/>
  <c r="N27" i="2"/>
  <c r="M27" i="2"/>
  <c r="L28" i="2"/>
  <c r="N28" i="2"/>
  <c r="M28" i="2"/>
  <c r="L27" i="1"/>
  <c r="K26" i="2"/>
  <c r="N26" i="2"/>
  <c r="L26" i="2"/>
  <c r="M26" i="2"/>
  <c r="AI19" i="1"/>
  <c r="X5" i="1"/>
  <c r="W11" i="1" s="1"/>
  <c r="AR16" i="3"/>
  <c r="AD4" i="1"/>
  <c r="AO4" i="1"/>
  <c r="AR10" i="3"/>
  <c r="O26" i="1"/>
  <c r="N26" i="1"/>
  <c r="M26" i="1"/>
  <c r="L26" i="1"/>
  <c r="K26" i="1"/>
  <c r="AJ4" i="1"/>
  <c r="AP4" i="1" s="1"/>
  <c r="L25" i="1"/>
  <c r="O25" i="1"/>
  <c r="N25" i="1"/>
  <c r="M25" i="1"/>
  <c r="K25" i="1"/>
  <c r="AP10" i="3"/>
  <c r="AM14" i="3"/>
  <c r="AQ14" i="3" s="1"/>
  <c r="U20" i="1"/>
  <c r="AP18" i="3"/>
  <c r="AR4" i="3"/>
  <c r="AQ18" i="3"/>
  <c r="AD6" i="1"/>
  <c r="AP3" i="1"/>
  <c r="AI13" i="1"/>
  <c r="AP16" i="3"/>
  <c r="AP4" i="3"/>
  <c r="AM6" i="3"/>
  <c r="AD5" i="1"/>
  <c r="AH17" i="1"/>
  <c r="AM7" i="3"/>
  <c r="AM2" i="3"/>
  <c r="AI17" i="1"/>
  <c r="AO5" i="1" s="1"/>
  <c r="AM5" i="3"/>
  <c r="AM3" i="3"/>
  <c r="AQ15" i="3"/>
  <c r="AP15" i="3"/>
  <c r="AR15" i="3"/>
  <c r="AQ19" i="3"/>
  <c r="AR19" i="3"/>
  <c r="AP19" i="3"/>
  <c r="AI15" i="1"/>
  <c r="AO3" i="1" s="1"/>
  <c r="AH19" i="1"/>
  <c r="AN7" i="1" s="1"/>
  <c r="X7" i="1"/>
  <c r="W13" i="1" s="1"/>
  <c r="AP5" i="1"/>
  <c r="X2" i="1"/>
  <c r="W8" i="1" s="1"/>
  <c r="AD3" i="1"/>
  <c r="AI14" i="1"/>
  <c r="AR9" i="3"/>
  <c r="AP9" i="3"/>
  <c r="AQ9" i="3"/>
  <c r="AQ11" i="3"/>
  <c r="AR11" i="3"/>
  <c r="AP11" i="3"/>
  <c r="AR13" i="3"/>
  <c r="AP13" i="3"/>
  <c r="AQ13" i="3"/>
  <c r="AR17" i="3"/>
  <c r="AP17" i="3"/>
  <c r="AQ17" i="3"/>
  <c r="BD2" i="2"/>
  <c r="BE4" i="2"/>
  <c r="BD5" i="2"/>
  <c r="BE6" i="2"/>
  <c r="BD7" i="2"/>
  <c r="BE3" i="2"/>
  <c r="BE2" i="2"/>
  <c r="BD4" i="2"/>
  <c r="BE5" i="2"/>
  <c r="BD6" i="2"/>
  <c r="BE7" i="2"/>
  <c r="BD3" i="2"/>
  <c r="H30" i="2" l="1"/>
  <c r="I30" i="2" s="1"/>
  <c r="H26" i="3"/>
  <c r="H27" i="3" s="1"/>
  <c r="AN5" i="1"/>
  <c r="V9" i="1"/>
  <c r="P27" i="1"/>
  <c r="AO7" i="1"/>
  <c r="O23" i="2"/>
  <c r="P28" i="1"/>
  <c r="J30" i="2"/>
  <c r="AD2" i="1"/>
  <c r="H28" i="3"/>
  <c r="R21" i="1"/>
  <c r="L23" i="1"/>
  <c r="I29" i="1"/>
  <c r="R28" i="1"/>
  <c r="Q27" i="1"/>
  <c r="R25" i="1"/>
  <c r="Q28" i="1"/>
  <c r="Q25" i="1"/>
  <c r="R27" i="1"/>
  <c r="R26" i="1"/>
  <c r="Q26" i="1"/>
  <c r="O23" i="1"/>
  <c r="N23" i="1"/>
  <c r="M23" i="1"/>
  <c r="P16" i="3"/>
  <c r="R16" i="3"/>
  <c r="Q16" i="3"/>
  <c r="R19" i="3"/>
  <c r="P19" i="3"/>
  <c r="Q19" i="3"/>
  <c r="O27" i="2"/>
  <c r="O28" i="2"/>
  <c r="U5" i="3"/>
  <c r="P5" i="3"/>
  <c r="R5" i="3"/>
  <c r="Q5" i="3"/>
  <c r="R12" i="3"/>
  <c r="P12" i="3"/>
  <c r="Q12" i="3"/>
  <c r="R17" i="3"/>
  <c r="P17" i="3"/>
  <c r="Q17" i="3"/>
  <c r="R15" i="3"/>
  <c r="P15" i="3"/>
  <c r="Q15" i="3"/>
  <c r="U2" i="3"/>
  <c r="R2" i="3"/>
  <c r="P2" i="3"/>
  <c r="Q2" i="3"/>
  <c r="R10" i="3"/>
  <c r="P10" i="3"/>
  <c r="Q10" i="3"/>
  <c r="I26" i="3"/>
  <c r="P25" i="3"/>
  <c r="Q25" i="3"/>
  <c r="R25" i="3"/>
  <c r="U3" i="3"/>
  <c r="R3" i="3"/>
  <c r="P3" i="3"/>
  <c r="Q3" i="3"/>
  <c r="V11" i="1"/>
  <c r="R24" i="3"/>
  <c r="Q24" i="3"/>
  <c r="P24" i="3"/>
  <c r="R8" i="3"/>
  <c r="P8" i="3"/>
  <c r="Q8" i="3"/>
  <c r="P9" i="3"/>
  <c r="R9" i="3"/>
  <c r="Q9" i="3"/>
  <c r="R11" i="3"/>
  <c r="P11" i="3"/>
  <c r="Q11" i="3"/>
  <c r="Q22" i="3"/>
  <c r="R22" i="3"/>
  <c r="P22" i="3"/>
  <c r="U6" i="3"/>
  <c r="R6" i="3"/>
  <c r="P6" i="3"/>
  <c r="Q6" i="3"/>
  <c r="N24" i="1"/>
  <c r="O24" i="1"/>
  <c r="M24" i="1"/>
  <c r="L24" i="1"/>
  <c r="I27" i="3"/>
  <c r="I28" i="3"/>
  <c r="P13" i="3"/>
  <c r="R13" i="3"/>
  <c r="Q13" i="3"/>
  <c r="R14" i="3"/>
  <c r="P14" i="3"/>
  <c r="Q14" i="3"/>
  <c r="K23" i="1"/>
  <c r="G39" i="2"/>
  <c r="H39" i="2"/>
  <c r="V8" i="1"/>
  <c r="O24" i="2"/>
  <c r="Q21" i="3"/>
  <c r="R21" i="3"/>
  <c r="P21" i="3"/>
  <c r="R20" i="3"/>
  <c r="Q20" i="3"/>
  <c r="P20" i="3"/>
  <c r="U4" i="3"/>
  <c r="P4" i="3"/>
  <c r="R4" i="3"/>
  <c r="Q4" i="3"/>
  <c r="Q23" i="3"/>
  <c r="P23" i="3"/>
  <c r="R23" i="3"/>
  <c r="U7" i="3"/>
  <c r="P7" i="3"/>
  <c r="R7" i="3"/>
  <c r="Q7" i="3"/>
  <c r="P18" i="3"/>
  <c r="R18" i="3"/>
  <c r="Q18" i="3"/>
  <c r="AH2" i="1"/>
  <c r="AN2" i="1" s="1"/>
  <c r="AN9" i="1" s="1"/>
  <c r="AI2" i="1"/>
  <c r="AO2" i="1" s="1"/>
  <c r="V13" i="1"/>
  <c r="AP14" i="3"/>
  <c r="O26" i="2"/>
  <c r="AR14" i="3"/>
  <c r="P26" i="1"/>
  <c r="P25" i="1"/>
  <c r="AQ3" i="3"/>
  <c r="AR3" i="3"/>
  <c r="AP3" i="3"/>
  <c r="AQ2" i="3"/>
  <c r="AP2" i="3"/>
  <c r="AR2" i="3"/>
  <c r="AR6" i="3"/>
  <c r="AP6" i="3"/>
  <c r="AQ6" i="3"/>
  <c r="AR5" i="3"/>
  <c r="AP5" i="3"/>
  <c r="AQ5" i="3"/>
  <c r="AP7" i="3"/>
  <c r="AQ7" i="3"/>
  <c r="AR7" i="3"/>
  <c r="X4" i="3" l="1"/>
  <c r="P23" i="1"/>
  <c r="Y6" i="3"/>
  <c r="Y3" i="3"/>
  <c r="Q29" i="1"/>
  <c r="P24" i="1"/>
  <c r="Y4" i="3"/>
  <c r="X7" i="3"/>
  <c r="X6" i="3"/>
  <c r="X3" i="3"/>
  <c r="X2" i="3"/>
  <c r="Y5" i="3"/>
  <c r="G30" i="1"/>
  <c r="F30" i="1"/>
  <c r="E30" i="1"/>
  <c r="Y2" i="3"/>
  <c r="Y9" i="3" s="1"/>
  <c r="Y7" i="3"/>
  <c r="X5" i="3"/>
  <c r="AN10" i="1"/>
  <c r="AN8" i="1"/>
  <c r="AN11" i="1" s="1"/>
  <c r="X8" i="3" l="1"/>
  <c r="Y8" i="3"/>
  <c r="X10" i="3"/>
  <c r="X9" i="3"/>
  <c r="X11" i="3" s="1"/>
  <c r="Y10" i="3"/>
  <c r="C34" i="4"/>
  <c r="Y11" i="3" l="1"/>
</calcChain>
</file>

<file path=xl/sharedStrings.xml><?xml version="1.0" encoding="utf-8"?>
<sst xmlns="http://schemas.openxmlformats.org/spreadsheetml/2006/main" count="491" uniqueCount="170">
  <si>
    <t>Rep</t>
  </si>
  <si>
    <t>Scenarios</t>
  </si>
  <si>
    <t>Seedbed Preparation</t>
  </si>
  <si>
    <t>Puddling</t>
  </si>
  <si>
    <t>Nursery Raising &amp; Transplanting /Sowing</t>
  </si>
  <si>
    <t>Total energy (MJ/ha)</t>
  </si>
  <si>
    <t>Seed</t>
  </si>
  <si>
    <t>Fertilizers</t>
  </si>
  <si>
    <t>Pesticides</t>
  </si>
  <si>
    <t>Irrigation(Diesel/electricity)</t>
  </si>
  <si>
    <t>Total energy(MJ/ha)</t>
  </si>
  <si>
    <t>Interculture/Weeding</t>
  </si>
  <si>
    <t>Inputs application</t>
  </si>
  <si>
    <t xml:space="preserve">Harvesting/Threshing </t>
  </si>
  <si>
    <t>Transportation</t>
  </si>
  <si>
    <t>Total energy of different  sources(MJ/ha)</t>
  </si>
  <si>
    <t>Irrigation</t>
  </si>
  <si>
    <t>Tillage operations</t>
  </si>
  <si>
    <t>Planting/Sowing</t>
  </si>
  <si>
    <t>Interculture /Weeding</t>
  </si>
  <si>
    <t>Harvesting/ Threshing</t>
  </si>
  <si>
    <t>Direct energy</t>
  </si>
  <si>
    <t xml:space="preserve">Indirect energy Machinery </t>
  </si>
  <si>
    <t xml:space="preserve">Total energy input </t>
  </si>
  <si>
    <t xml:space="preserve">Indirect energy </t>
  </si>
  <si>
    <t xml:space="preserve">Renewable energy </t>
  </si>
  <si>
    <t xml:space="preserve">Non-renewable energy </t>
  </si>
  <si>
    <r>
      <t>Direct energy MJ ha</t>
    </r>
    <r>
      <rPr>
        <vertAlign val="superscript"/>
        <sz val="10"/>
        <color theme="1"/>
        <rFont val="Times New Roman"/>
        <family val="1"/>
      </rPr>
      <t>−1</t>
    </r>
  </si>
  <si>
    <r>
      <t>Indirect energy MJ ha</t>
    </r>
    <r>
      <rPr>
        <vertAlign val="superscript"/>
        <sz val="10"/>
        <color theme="1"/>
        <rFont val="Times New Roman"/>
        <family val="1"/>
      </rPr>
      <t>−1</t>
    </r>
  </si>
  <si>
    <r>
      <t>Renewable energy (MJ ha</t>
    </r>
    <r>
      <rPr>
        <vertAlign val="superscript"/>
        <sz val="10"/>
        <color theme="1"/>
        <rFont val="Times New Roman"/>
        <family val="1"/>
      </rPr>
      <t>-1</t>
    </r>
    <r>
      <rPr>
        <sz val="10"/>
        <color theme="1"/>
        <rFont val="Times New Roman"/>
        <family val="1"/>
      </rPr>
      <t>)</t>
    </r>
  </si>
  <si>
    <r>
      <t>Non-renewable energy (kg MJ</t>
    </r>
    <r>
      <rPr>
        <vertAlign val="superscript"/>
        <sz val="10"/>
        <color theme="1"/>
        <rFont val="Times New Roman"/>
        <family val="1"/>
      </rPr>
      <t>-1</t>
    </r>
    <r>
      <rPr>
        <sz val="10"/>
        <color theme="1"/>
        <rFont val="Times New Roman"/>
        <family val="1"/>
      </rPr>
      <t>)</t>
    </r>
  </si>
  <si>
    <r>
      <t>Total energy input ×10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MJ ha</t>
    </r>
    <r>
      <rPr>
        <vertAlign val="superscript"/>
        <sz val="10"/>
        <color theme="1"/>
        <rFont val="Times New Roman"/>
        <family val="1"/>
      </rPr>
      <t>−1</t>
    </r>
  </si>
  <si>
    <t>Rice</t>
  </si>
  <si>
    <t>Wheat</t>
  </si>
  <si>
    <t>System</t>
  </si>
  <si>
    <t>Grain energy output</t>
  </si>
  <si>
    <t xml:space="preserve">Energy in the harvested total biomass (grain + straw)  </t>
  </si>
  <si>
    <r>
      <t xml:space="preserve">Net energy </t>
    </r>
    <r>
      <rPr>
        <sz val="10"/>
        <color theme="1"/>
        <rFont val="Times New Roman"/>
        <family val="1"/>
      </rPr>
      <t>MJ ha</t>
    </r>
    <r>
      <rPr>
        <vertAlign val="superscript"/>
        <sz val="10"/>
        <color theme="1"/>
        <rFont val="Times New Roman"/>
        <family val="1"/>
      </rPr>
      <t>−1</t>
    </r>
  </si>
  <si>
    <t>Energy productivity(kg MJ-1)</t>
  </si>
  <si>
    <t>Grain yield</t>
  </si>
  <si>
    <t xml:space="preserve">Grain speciﬁc energy </t>
  </si>
  <si>
    <t>Total speciﬁc energy (MJ ha-1)</t>
  </si>
  <si>
    <r>
      <t>Total energy output (Energy in the harvested total biomass (grain + straw)  ×10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MJ ha</t>
    </r>
    <r>
      <rPr>
        <vertAlign val="superscript"/>
        <sz val="10"/>
        <color theme="1"/>
        <rFont val="Times New Roman"/>
        <family val="1"/>
      </rPr>
      <t>−1</t>
    </r>
  </si>
  <si>
    <r>
      <t>Net energy ×10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MJ ha</t>
    </r>
    <r>
      <rPr>
        <vertAlign val="superscript"/>
        <sz val="10"/>
        <color theme="1"/>
        <rFont val="Times New Roman"/>
        <family val="1"/>
      </rPr>
      <t>−1</t>
    </r>
  </si>
  <si>
    <t>Grain specific energy</t>
  </si>
  <si>
    <t>Total specific energy</t>
  </si>
  <si>
    <t>Energy use in  field operations</t>
  </si>
  <si>
    <t xml:space="preserve">Total energy </t>
  </si>
  <si>
    <t>Total energy</t>
  </si>
  <si>
    <t>Net energy</t>
  </si>
  <si>
    <t xml:space="preserve">Total speciﬁc energy </t>
  </si>
  <si>
    <t>Energy output in the harvested total biomass (grain + straw)</t>
  </si>
  <si>
    <t xml:space="preserve">Grain energy output </t>
  </si>
  <si>
    <t>Energy use in production Inputs</t>
  </si>
  <si>
    <t>Energy use in crop management</t>
  </si>
  <si>
    <t>Energy use in transportation</t>
  </si>
  <si>
    <t>Total energy use in productions</t>
  </si>
  <si>
    <t xml:space="preserve">Direct energy </t>
  </si>
  <si>
    <t xml:space="preserve">Net energy </t>
  </si>
  <si>
    <t>Energy out in the harvested total biomass (grain + straw)</t>
  </si>
  <si>
    <t xml:space="preserve">Net energy  </t>
  </si>
  <si>
    <t xml:space="preserve">Energy output in the harvested total biomass (grain + straw)  </t>
  </si>
  <si>
    <t xml:space="preserve">Energy use in Harvesting and 
Threshing
</t>
  </si>
  <si>
    <t>Labour used in production (Equivalent energy)</t>
  </si>
  <si>
    <t>Engergy used in crop residue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</si>
  <si>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</si>
  <si>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</si>
  <si>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</si>
  <si>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</si>
  <si>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</si>
  <si>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</si>
  <si>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</si>
  <si>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</si>
  <si>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</si>
  <si>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</si>
  <si>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</si>
  <si>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</si>
  <si>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</si>
  <si>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</si>
  <si>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</si>
  <si>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</si>
  <si>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</si>
  <si>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</si>
  <si>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</si>
  <si>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</si>
  <si>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</si>
  <si>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</si>
  <si>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</si>
  <si>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</si>
  <si>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</si>
  <si>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</si>
  <si>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</si>
  <si>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</si>
  <si>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</si>
  <si>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</si>
  <si>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</si>
  <si>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</si>
  <si>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</si>
  <si>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</si>
  <si>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</si>
  <si>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</si>
  <si>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</si>
  <si>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</si>
  <si>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</si>
  <si>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</si>
  <si>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</si>
  <si>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</si>
  <si>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</si>
  <si>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</si>
  <si>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</si>
  <si>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</si>
  <si>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</si>
  <si>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</si>
  <si>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</si>
  <si>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</si>
  <si>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</si>
  <si>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</si>
  <si>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</si>
  <si>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</si>
  <si>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</si>
  <si>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</si>
  <si>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</si>
  <si>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</si>
  <si>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</si>
  <si>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Energy use in Harvesting and Threshing</t>
  </si>
  <si>
    <t>Threshing</t>
  </si>
  <si>
    <t>Field operations</t>
  </si>
  <si>
    <t>Production Inputs</t>
  </si>
  <si>
    <t>Crop management</t>
  </si>
  <si>
    <t xml:space="preserve">Harvesting and </t>
  </si>
  <si>
    <t>total</t>
  </si>
  <si>
    <t>Tillage</t>
  </si>
  <si>
    <t>Nursery raising &amp; transplanting /sowing</t>
  </si>
  <si>
    <t>Weeding</t>
  </si>
  <si>
    <t xml:space="preserve">Harvesting &amp; threshing </t>
  </si>
  <si>
    <t xml:space="preserve">Tillage </t>
  </si>
  <si>
    <t>Sowing</t>
  </si>
  <si>
    <t>Harvesting &amp; threshing</t>
  </si>
  <si>
    <r>
      <rPr>
        <b/>
        <sz val="11"/>
        <color theme="1"/>
        <rFont val="Times New Roman"/>
        <family val="1"/>
      </rPr>
      <t>Field operations</t>
    </r>
    <r>
      <rPr>
        <sz val="11"/>
        <color theme="1"/>
        <rFont val="Times New Roman"/>
        <family val="1"/>
      </rPr>
      <t xml:space="preserve"> (Tillage, puddling/sowing, transplanting)</t>
    </r>
  </si>
  <si>
    <t>Scenario</t>
  </si>
  <si>
    <t>Replication</t>
  </si>
  <si>
    <t>Net return (USD/ha)</t>
  </si>
  <si>
    <t>Energy inputs (MJ ha-1)</t>
  </si>
  <si>
    <t>GHGs (kg CO2e/ha/year)</t>
  </si>
  <si>
    <t>Eco-efficiency (USD.ha-1/MJ.ha-1)</t>
  </si>
  <si>
    <t>Eco-efficiency(CO2 eq.ha-1/MJ.ha-1)</t>
  </si>
  <si>
    <t xml:space="preserve">Eco-efficiency </t>
  </si>
  <si>
    <t>Net return_rice</t>
  </si>
  <si>
    <t>Net return_wheat</t>
  </si>
  <si>
    <t>Net return_system</t>
  </si>
  <si>
    <t>Eco-efficiency_rice</t>
  </si>
  <si>
    <t>Eco-efficiency_wheat</t>
  </si>
  <si>
    <t>Eco-efficiency_system</t>
  </si>
  <si>
    <t>Sc1</t>
  </si>
  <si>
    <t>Sc2</t>
  </si>
  <si>
    <t>Sc3</t>
  </si>
  <si>
    <t>Sc4</t>
  </si>
  <si>
    <t>Sc5</t>
  </si>
  <si>
    <t>Sc6</t>
  </si>
  <si>
    <t>Agronomic Inputs x10</t>
  </si>
  <si>
    <t xml:space="preserve">Labor </t>
  </si>
  <si>
    <t>Labor (interculture/weeding, input applications)</t>
  </si>
  <si>
    <r>
      <rPr>
        <b/>
        <sz val="11"/>
        <color theme="1"/>
        <rFont val="Times New Roman"/>
        <family val="1"/>
      </rPr>
      <t xml:space="preserve">Labor </t>
    </r>
    <r>
      <rPr>
        <sz val="11"/>
        <color theme="1"/>
        <rFont val="Times New Roman"/>
        <family val="1"/>
      </rPr>
      <t>(interculture/weeding, input applications)</t>
    </r>
  </si>
  <si>
    <r>
      <rPr>
        <b/>
        <sz val="11"/>
        <color theme="1"/>
        <rFont val="Times New Roman"/>
        <family val="1"/>
      </rPr>
      <t>Harvesting</t>
    </r>
    <r>
      <rPr>
        <sz val="11"/>
        <color theme="1"/>
        <rFont val="Times New Roman"/>
        <family val="1"/>
      </rPr>
      <t xml:space="preserve"> &amp; threshing</t>
    </r>
  </si>
  <si>
    <t>Agronomic Inputs x10 (Fertilizers, pesticides and irrigations)</t>
  </si>
  <si>
    <r>
      <rPr>
        <b/>
        <sz val="11"/>
        <color theme="1"/>
        <rFont val="Times New Roman"/>
        <family val="1"/>
      </rPr>
      <t>Agronomic Inputs</t>
    </r>
    <r>
      <rPr>
        <sz val="11"/>
        <color theme="1"/>
        <rFont val="Times New Roman"/>
        <family val="1"/>
      </rPr>
      <t xml:space="preserve"> x10 (Fertilizers, pesticides and irrigations)</t>
    </r>
  </si>
  <si>
    <t>Irrigation (electricity)</t>
  </si>
  <si>
    <t>Eco-efciency</t>
  </si>
  <si>
    <t>Net return</t>
  </si>
  <si>
    <t>Field prepration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</si>
</sst>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1" fontId="1" fillId="0" borderId="0" xfId="0" applyNumberFormat="1" applyFont="1" applyBorder="1" applyAlignment="1">
      <alignment vertical="center" wrapText="1"/>
    </xf>
    <xf numFmtId="1" fontId="0" fillId="0" borderId="0" xfId="0" applyNumberFormat="1"/>
    <xf numFmtId="1" fontId="0" fillId="0" borderId="0" xfId="0" applyNumberFormat="1" applyBorder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2" fontId="0" fillId="0" borderId="0" xfId="0" applyNumberFormat="1"/>
    <xf numFmtId="1" fontId="2" fillId="0" borderId="0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1" fontId="0" fillId="2" borderId="0" xfId="0" applyNumberFormat="1" applyFill="1"/>
    <xf numFmtId="0" fontId="2" fillId="2" borderId="0" xfId="0" applyFont="1" applyFill="1" applyAlignment="1">
      <alignment wrapText="1"/>
    </xf>
    <xf numFmtId="0" fontId="0" fillId="0" borderId="0" xfId="0" applyBorder="1"/>
    <xf numFmtId="0" fontId="5" fillId="0" borderId="0" xfId="0" applyFont="1" applyBorder="1" applyAlignment="1">
      <alignment wrapText="1"/>
    </xf>
    <xf numFmtId="0" fontId="5" fillId="0" borderId="0" xfId="0" applyFont="1"/>
    <xf numFmtId="1" fontId="5" fillId="0" borderId="0" xfId="0" applyNumberFormat="1" applyFont="1"/>
    <xf numFmtId="1" fontId="5" fillId="0" borderId="0" xfId="0" applyNumberFormat="1" applyFont="1" applyBorder="1"/>
    <xf numFmtId="2" fontId="5" fillId="0" borderId="0" xfId="0" applyNumberFormat="1" applyFont="1"/>
    <xf numFmtId="0" fontId="5" fillId="0" borderId="0" xfId="0" applyFont="1" applyBorder="1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 applyBorder="1" applyAlignment="1">
      <alignment wrapText="1"/>
    </xf>
    <xf numFmtId="0" fontId="6" fillId="0" borderId="0" xfId="0" applyFont="1" applyFill="1" applyBorder="1" applyAlignment="1">
      <alignment wrapText="1"/>
    </xf>
    <xf numFmtId="1" fontId="6" fillId="0" borderId="0" xfId="0" applyNumberFormat="1" applyFont="1" applyBorder="1" applyAlignment="1">
      <alignment vertical="center" wrapText="1"/>
    </xf>
    <xf numFmtId="1" fontId="5" fillId="0" borderId="0" xfId="0" applyNumberFormat="1" applyFont="1" applyBorder="1" applyAlignment="1">
      <alignment vertical="center" wrapText="1"/>
    </xf>
    <xf numFmtId="2" fontId="5" fillId="0" borderId="0" xfId="0" applyNumberFormat="1" applyFont="1" applyBorder="1" applyAlignment="1">
      <alignment horizontal="center" vertical="center" wrapText="1"/>
    </xf>
    <xf numFmtId="0" fontId="6" fillId="3" borderId="0" xfId="0" applyFont="1" applyFill="1" applyBorder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" fontId="5" fillId="0" borderId="2" xfId="0" applyNumberFormat="1" applyFont="1" applyBorder="1" applyAlignment="1">
      <alignment vertical="center" wrapText="1"/>
    </xf>
    <xf numFmtId="1" fontId="5" fillId="0" borderId="4" xfId="0" applyNumberFormat="1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7" fillId="0" borderId="4" xfId="0" applyNumberFormat="1" applyFont="1" applyBorder="1" applyAlignment="1">
      <alignment horizontal="right" vertical="center" wrapText="1"/>
    </xf>
    <xf numFmtId="164" fontId="0" fillId="0" borderId="0" xfId="0" applyNumberFormat="1"/>
    <xf numFmtId="1" fontId="7" fillId="0" borderId="5" xfId="0" applyNumberFormat="1" applyFont="1" applyFill="1" applyBorder="1" applyAlignment="1">
      <alignment horizontal="right" vertical="center" wrapText="1"/>
    </xf>
    <xf numFmtId="0" fontId="5" fillId="5" borderId="0" xfId="0" applyFont="1" applyFill="1" applyBorder="1" applyAlignment="1">
      <alignment vertical="top" wrapText="1"/>
    </xf>
    <xf numFmtId="1" fontId="5" fillId="5" borderId="0" xfId="0" applyNumberFormat="1" applyFont="1" applyFill="1" applyBorder="1" applyAlignment="1">
      <alignment vertical="top" wrapText="1"/>
    </xf>
    <xf numFmtId="2" fontId="5" fillId="5" borderId="0" xfId="0" applyNumberFormat="1" applyFont="1" applyFill="1" applyBorder="1" applyAlignment="1">
      <alignment vertical="top" wrapText="1"/>
    </xf>
    <xf numFmtId="2" fontId="7" fillId="0" borderId="5" xfId="0" applyNumberFormat="1" applyFont="1" applyFill="1" applyBorder="1" applyAlignment="1">
      <alignment horizontal="right" vertical="center" wrapText="1"/>
    </xf>
    <xf numFmtId="0" fontId="0" fillId="2" borderId="0" xfId="0" applyFill="1"/>
    <xf numFmtId="165" fontId="0" fillId="0" borderId="0" xfId="0" applyNumberFormat="1"/>
    <xf numFmtId="1" fontId="7" fillId="0" borderId="0" xfId="0" applyNumberFormat="1" applyFont="1" applyFill="1" applyBorder="1" applyAlignment="1">
      <alignment horizontal="right" vertical="center" wrapText="1"/>
    </xf>
    <xf numFmtId="1" fontId="0" fillId="2" borderId="0" xfId="0" applyNumberFormat="1" applyFill="1" applyBorder="1"/>
    <xf numFmtId="2" fontId="0" fillId="0" borderId="0" xfId="0" applyNumberFormat="1" applyFill="1" applyBorder="1"/>
    <xf numFmtId="166" fontId="0" fillId="0" borderId="0" xfId="0" applyNumberFormat="1"/>
    <xf numFmtId="1" fontId="1" fillId="0" borderId="0" xfId="0" applyNumberFormat="1" applyFont="1" applyFill="1" applyBorder="1" applyAlignment="1">
      <alignment vertical="center" wrapText="1"/>
    </xf>
    <xf numFmtId="2" fontId="0" fillId="0" borderId="0" xfId="0" applyNumberFormat="1" applyFill="1"/>
    <xf numFmtId="1" fontId="0" fillId="0" borderId="0" xfId="0" applyNumberFormat="1" applyFill="1"/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3" borderId="0" xfId="0" applyFont="1" applyFill="1" applyBorder="1" applyAlignment="1">
      <alignment vertical="top" wrapText="1"/>
    </xf>
    <xf numFmtId="0" fontId="5" fillId="3" borderId="0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5" fillId="4" borderId="0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/>
    </xf>
    <xf numFmtId="0" fontId="5" fillId="5" borderId="0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5" fillId="4" borderId="0" xfId="0" applyFont="1" applyFill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470C8"/>
      <color rgb="FF1EF657"/>
      <color rgb="FFED1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Rice!$K$21:$K$22</c:f>
              <c:strCache>
                <c:ptCount val="1"/>
                <c:pt idx="0">
                  <c:v>Field operations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Rice!$J$23:$J$28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Rice!$K$23:$K$28</c:f>
              <c:numCache>
                <c:formatCode>0</c:formatCode>
                <c:ptCount val="6"/>
                <c:pt idx="0">
                  <c:v>9.4943318027887109</c:v>
                </c:pt>
                <c:pt idx="1">
                  <c:v>9.4943318027887109</c:v>
                </c:pt>
                <c:pt idx="2">
                  <c:v>4.661593170337281</c:v>
                </c:pt>
                <c:pt idx="3">
                  <c:v>4.8117942608010518</c:v>
                </c:pt>
                <c:pt idx="4">
                  <c:v>1.2512367975823826</c:v>
                </c:pt>
                <c:pt idx="5">
                  <c:v>1.2952374834116624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E0-4CB9-AC06-EE536FA8EF86}"/>
            </c:ext>
          </c:extLst>
        </c:ser>
        <c:ser>
          <c:idx val="1"/>
          <c:order val="1"/>
          <c:tx>
            <c:strRef>
              <c:f>Rice!$L$21:$L$22</c:f>
              <c:strCache>
                <c:ptCount val="1"/>
                <c:pt idx="0">
                  <c:v>Production Inputs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Rice!$J$23:$J$28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Rice!$L$23:$L$28</c:f>
              <c:numCache>
                <c:formatCode>0</c:formatCode>
                <c:ptCount val="6"/>
                <c:pt idx="0">
                  <c:v>81.855423204475997</c:v>
                </c:pt>
                <c:pt idx="1">
                  <c:v>81.855423204475997</c:v>
                </c:pt>
                <c:pt idx="2">
                  <c:v>85.692623869788449</c:v>
                </c:pt>
                <c:pt idx="3">
                  <c:v>85.551058508079677</c:v>
                </c:pt>
                <c:pt idx="4">
                  <c:v>88.85525878851125</c:v>
                </c:pt>
                <c:pt idx="5">
                  <c:v>88.463345557024724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BE0-4CB9-AC06-EE536FA8EF86}"/>
            </c:ext>
          </c:extLst>
        </c:ser>
        <c:ser>
          <c:idx val="2"/>
          <c:order val="2"/>
          <c:tx>
            <c:strRef>
              <c:f>Rice!$M$21:$M$22</c:f>
              <c:strCache>
                <c:ptCount val="1"/>
                <c:pt idx="0">
                  <c:v>Crop management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Rice!$J$23:$J$28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Rice!$M$23:$M$28</c:f>
              <c:numCache>
                <c:formatCode>0</c:formatCode>
                <c:ptCount val="6"/>
                <c:pt idx="0">
                  <c:v>5.3423754069202545</c:v>
                </c:pt>
                <c:pt idx="1">
                  <c:v>5.3423754069202545</c:v>
                </c:pt>
                <c:pt idx="2">
                  <c:v>5.5794599738785333</c:v>
                </c:pt>
                <c:pt idx="3">
                  <c:v>5.4398033421067415</c:v>
                </c:pt>
                <c:pt idx="4">
                  <c:v>5.4162202168863125</c:v>
                </c:pt>
                <c:pt idx="5">
                  <c:v>5.6066856864168448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BE0-4CB9-AC06-EE536FA8EF86}"/>
            </c:ext>
          </c:extLst>
        </c:ser>
        <c:ser>
          <c:idx val="3"/>
          <c:order val="3"/>
          <c:tx>
            <c:strRef>
              <c:f>Rice!$N$21:$N$22</c:f>
              <c:strCache>
                <c:ptCount val="1"/>
                <c:pt idx="0">
                  <c:v>Harvesting and  Threshing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Rice!$J$23:$J$28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Rice!$N$23:$N$28</c:f>
              <c:numCache>
                <c:formatCode>0</c:formatCode>
                <c:ptCount val="6"/>
                <c:pt idx="0">
                  <c:v>2.4651420907523325</c:v>
                </c:pt>
                <c:pt idx="1">
                  <c:v>2.4651420907523325</c:v>
                </c:pt>
                <c:pt idx="2">
                  <c:v>3.0303685460749215</c:v>
                </c:pt>
                <c:pt idx="3">
                  <c:v>3.1280099839901556</c:v>
                </c:pt>
                <c:pt idx="4">
                  <c:v>3.3366314602196865</c:v>
                </c:pt>
                <c:pt idx="5">
                  <c:v>3.453966622431099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BE0-4CB9-AC06-EE536FA8EF86}"/>
            </c:ext>
          </c:extLst>
        </c:ser>
        <c:ser>
          <c:idx val="4"/>
          <c:order val="4"/>
          <c:tx>
            <c:strRef>
              <c:f>Rice!$O$21:$O$22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Rice!$J$23:$J$28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Rice!$O$23:$O$28</c:f>
              <c:numCache>
                <c:formatCode>0</c:formatCode>
                <c:ptCount val="6"/>
                <c:pt idx="0">
                  <c:v>0.84272749506273126</c:v>
                </c:pt>
                <c:pt idx="1">
                  <c:v>0.84272749506273126</c:v>
                </c:pt>
                <c:pt idx="2">
                  <c:v>1.0359544399208354</c:v>
                </c:pt>
                <c:pt idx="3">
                  <c:v>1.0693339050223849</c:v>
                </c:pt>
                <c:pt idx="4">
                  <c:v>1.1406527368003723</c:v>
                </c:pt>
                <c:pt idx="5">
                  <c:v>1.1807646507156573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BE0-4CB9-AC06-EE536FA8EF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8664576"/>
        <c:axId val="198666112"/>
      </c:barChart>
      <c:catAx>
        <c:axId val="19866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6112"/>
        <c:crosses val="autoZero"/>
        <c:auto val="1"/>
        <c:lblAlgn val="ctr"/>
        <c:lblOffset val="100"/>
        <c:noMultiLvlLbl val="0"/>
      </c:catAx>
      <c:valAx>
        <c:axId val="198666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86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3460192475943"/>
          <c:y val="0.29208333333333336"/>
          <c:w val="0.83246128608923886"/>
          <c:h val="0.6097765383493729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Rice!$C$31</c:f>
              <c:strCache>
                <c:ptCount val="1"/>
                <c:pt idx="0">
                  <c:v>Seedbed Preparation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Rice!$C$32:$C$37</c:f>
              <c:numCache>
                <c:formatCode>General</c:formatCode>
                <c:ptCount val="6"/>
                <c:pt idx="0">
                  <c:v>1977.8591851851852</c:v>
                </c:pt>
                <c:pt idx="1">
                  <c:v>1977.8591851851852</c:v>
                </c:pt>
                <c:pt idx="2">
                  <c:v>1310.0999999999999</c:v>
                </c:pt>
                <c:pt idx="3">
                  <c:v>1310.0999999999999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A7-4941-9C44-3203E9A8CDBD}"/>
            </c:ext>
          </c:extLst>
        </c:ser>
        <c:ser>
          <c:idx val="1"/>
          <c:order val="1"/>
          <c:tx>
            <c:strRef>
              <c:f>Rice!$D$31</c:f>
              <c:strCache>
                <c:ptCount val="1"/>
                <c:pt idx="0">
                  <c:v>Puddling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Rice!$D$32:$D$37</c:f>
              <c:numCache>
                <c:formatCode>General</c:formatCode>
                <c:ptCount val="6"/>
                <c:pt idx="0">
                  <c:v>1381.885666666667</c:v>
                </c:pt>
                <c:pt idx="1">
                  <c:v>1381.885666666667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BA7-4941-9C44-3203E9A8CDBD}"/>
            </c:ext>
          </c:extLst>
        </c:ser>
        <c:ser>
          <c:idx val="2"/>
          <c:order val="2"/>
          <c:tx>
            <c:strRef>
              <c:f>Rice!$E$31</c:f>
              <c:strCache>
                <c:ptCount val="1"/>
                <c:pt idx="0">
                  <c:v>Nursery Raising &amp; Transplanting /Sowing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Rice!$E$32:$E$37</c:f>
              <c:numCache>
                <c:formatCode>General</c:formatCode>
                <c:ptCount val="6"/>
                <c:pt idx="0">
                  <c:v>977.74000000000012</c:v>
                </c:pt>
                <c:pt idx="1">
                  <c:v>977.74000000000012</c:v>
                </c:pt>
                <c:pt idx="2">
                  <c:v>422.32500000000005</c:v>
                </c:pt>
                <c:pt idx="3">
                  <c:v>422.32500000000005</c:v>
                </c:pt>
                <c:pt idx="4">
                  <c:v>422.32500000000005</c:v>
                </c:pt>
                <c:pt idx="5">
                  <c:v>422.32500000000005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BA7-4941-9C44-3203E9A8CDBD}"/>
            </c:ext>
          </c:extLst>
        </c:ser>
        <c:ser>
          <c:idx val="3"/>
          <c:order val="3"/>
          <c:tx>
            <c:strRef>
              <c:f>Rice!$F$31</c:f>
              <c:strCache>
                <c:ptCount val="1"/>
                <c:pt idx="0">
                  <c:v>Seed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Rice!$F$32:$F$37</c:f>
              <c:numCache>
                <c:formatCode>General</c:formatCode>
                <c:ptCount val="6"/>
                <c:pt idx="0">
                  <c:v>183.75</c:v>
                </c:pt>
                <c:pt idx="1">
                  <c:v>183.75</c:v>
                </c:pt>
                <c:pt idx="2">
                  <c:v>294</c:v>
                </c:pt>
                <c:pt idx="3">
                  <c:v>294</c:v>
                </c:pt>
                <c:pt idx="4">
                  <c:v>294</c:v>
                </c:pt>
                <c:pt idx="5">
                  <c:v>294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BA7-4941-9C44-3203E9A8CDBD}"/>
            </c:ext>
          </c:extLst>
        </c:ser>
        <c:ser>
          <c:idx val="4"/>
          <c:order val="4"/>
          <c:tx>
            <c:strRef>
              <c:f>Rice!$G$31</c:f>
              <c:strCache>
                <c:ptCount val="1"/>
                <c:pt idx="0">
                  <c:v>Fertilizers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Rice!$G$32:$G$37</c:f>
              <c:numCache>
                <c:formatCode>General</c:formatCode>
                <c:ptCount val="6"/>
                <c:pt idx="0">
                  <c:v>14747.9</c:v>
                </c:pt>
                <c:pt idx="1">
                  <c:v>14747.9</c:v>
                </c:pt>
                <c:pt idx="2">
                  <c:v>13474.299999999997</c:v>
                </c:pt>
                <c:pt idx="3">
                  <c:v>13474.299999999997</c:v>
                </c:pt>
                <c:pt idx="4">
                  <c:v>13637.445333333331</c:v>
                </c:pt>
                <c:pt idx="5">
                  <c:v>12490.831111111111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BA7-4941-9C44-3203E9A8CDBD}"/>
            </c:ext>
          </c:extLst>
        </c:ser>
        <c:ser>
          <c:idx val="5"/>
          <c:order val="5"/>
          <c:tx>
            <c:strRef>
              <c:f>Rice!$H$31</c:f>
              <c:strCache>
                <c:ptCount val="1"/>
                <c:pt idx="0">
                  <c:v>Pesticides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Rice!$H$32:$H$37</c:f>
              <c:numCache>
                <c:formatCode>General</c:formatCode>
                <c:ptCount val="6"/>
                <c:pt idx="0">
                  <c:v>1993.2</c:v>
                </c:pt>
                <c:pt idx="1">
                  <c:v>1993.2</c:v>
                </c:pt>
                <c:pt idx="2">
                  <c:v>351.39999999999992</c:v>
                </c:pt>
                <c:pt idx="3">
                  <c:v>341.39999999999992</c:v>
                </c:pt>
                <c:pt idx="4">
                  <c:v>541.4</c:v>
                </c:pt>
                <c:pt idx="5">
                  <c:v>541.4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BA7-4941-9C44-3203E9A8CDBD}"/>
            </c:ext>
          </c:extLst>
        </c:ser>
        <c:ser>
          <c:idx val="6"/>
          <c:order val="6"/>
          <c:tx>
            <c:strRef>
              <c:f>Rice!$I$31</c:f>
              <c:strCache>
                <c:ptCount val="1"/>
                <c:pt idx="0">
                  <c:v>Irrigation(Diesel/electricity)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Rice!$I$32:$I$37</c:f>
              <c:numCache>
                <c:formatCode>General</c:formatCode>
                <c:ptCount val="6"/>
                <c:pt idx="0">
                  <c:v>20470.794640000004</c:v>
                </c:pt>
                <c:pt idx="1">
                  <c:v>20470.794640000004</c:v>
                </c:pt>
                <c:pt idx="2">
                  <c:v>17726.932359999995</c:v>
                </c:pt>
                <c:pt idx="3">
                  <c:v>16691.86476</c:v>
                </c:pt>
                <c:pt idx="4">
                  <c:v>15518.118200000003</c:v>
                </c:pt>
                <c:pt idx="5">
                  <c:v>15518.118200000003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BA7-4941-9C44-3203E9A8CDBD}"/>
            </c:ext>
          </c:extLst>
        </c:ser>
        <c:ser>
          <c:idx val="7"/>
          <c:order val="7"/>
          <c:tx>
            <c:strRef>
              <c:f>Rice!$J$31</c:f>
              <c:strCache>
                <c:ptCount val="1"/>
                <c:pt idx="0">
                  <c:v>Interculture/Weeding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Rice!$J$32:$J$37</c:f>
              <c:numCache>
                <c:formatCode>General</c:formatCode>
                <c:ptCount val="6"/>
                <c:pt idx="0">
                  <c:v>47.04</c:v>
                </c:pt>
                <c:pt idx="1">
                  <c:v>47.04</c:v>
                </c:pt>
                <c:pt idx="2">
                  <c:v>62.72</c:v>
                </c:pt>
                <c:pt idx="3">
                  <c:v>62.72</c:v>
                </c:pt>
                <c:pt idx="4">
                  <c:v>62.72</c:v>
                </c:pt>
                <c:pt idx="5">
                  <c:v>62.72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BA7-4941-9C44-3203E9A8CDBD}"/>
            </c:ext>
          </c:extLst>
        </c:ser>
        <c:ser>
          <c:idx val="8"/>
          <c:order val="8"/>
          <c:tx>
            <c:strRef>
              <c:f>Rice!$K$31</c:f>
              <c:strCache>
                <c:ptCount val="1"/>
                <c:pt idx="0">
                  <c:v>Inputs application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Rice!$K$32:$K$37</c:f>
              <c:numCache>
                <c:formatCode>General</c:formatCode>
                <c:ptCount val="6"/>
                <c:pt idx="0">
                  <c:v>2393.6238488888894</c:v>
                </c:pt>
                <c:pt idx="1">
                  <c:v>2393.6238488888894</c:v>
                </c:pt>
                <c:pt idx="2">
                  <c:v>2010.8191511111115</c:v>
                </c:pt>
                <c:pt idx="3">
                  <c:v>1895.8116399999999</c:v>
                </c:pt>
                <c:pt idx="4">
                  <c:v>1765.3953555555556</c:v>
                </c:pt>
                <c:pt idx="5">
                  <c:v>1765.3953555555556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BA7-4941-9C44-3203E9A8CDBD}"/>
            </c:ext>
          </c:extLst>
        </c:ser>
        <c:ser>
          <c:idx val="9"/>
          <c:order val="9"/>
          <c:tx>
            <c:strRef>
              <c:f>Rice!$L$31</c:f>
              <c:strCache>
                <c:ptCount val="1"/>
                <c:pt idx="0">
                  <c:v>Harvesting/Threshing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Rice!$L$32:$L$37</c:f>
              <c:numCache>
                <c:formatCode>General</c:formatCode>
                <c:ptCount val="6"/>
                <c:pt idx="0">
                  <c:v>1126.2</c:v>
                </c:pt>
                <c:pt idx="1">
                  <c:v>1126.2</c:v>
                </c:pt>
                <c:pt idx="2">
                  <c:v>1126.2</c:v>
                </c:pt>
                <c:pt idx="3">
                  <c:v>1126.2</c:v>
                </c:pt>
                <c:pt idx="4">
                  <c:v>1126.2</c:v>
                </c:pt>
                <c:pt idx="5">
                  <c:v>1126.2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BA7-4941-9C44-3203E9A8CDBD}"/>
            </c:ext>
          </c:extLst>
        </c:ser>
        <c:ser>
          <c:idx val="10"/>
          <c:order val="10"/>
          <c:tx>
            <c:strRef>
              <c:f>Rice!$M$31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Rice!$B$32:$B$37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Rice!$M$32:$M$37</c:f>
              <c:numCache>
                <c:formatCode>General</c:formatCode>
                <c:ptCount val="6"/>
                <c:pt idx="0">
                  <c:v>385</c:v>
                </c:pt>
                <c:pt idx="1">
                  <c:v>385</c:v>
                </c:pt>
                <c:pt idx="2">
                  <c:v>385</c:v>
                </c:pt>
                <c:pt idx="3">
                  <c:v>385</c:v>
                </c:pt>
                <c:pt idx="4">
                  <c:v>385</c:v>
                </c:pt>
                <c:pt idx="5">
                  <c:v>385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BA7-4941-9C44-3203E9A8C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940736"/>
        <c:axId val="198906240"/>
      </c:barChart>
      <c:catAx>
        <c:axId val="19994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6240"/>
        <c:crosses val="autoZero"/>
        <c:auto val="1"/>
        <c:lblAlgn val="ctr"/>
        <c:lblOffset val="100"/>
        <c:noMultiLvlLbl val="0"/>
      </c:catAx>
      <c:valAx>
        <c:axId val="19890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8632803806657413E-2"/>
          <c:y val="3.8274946874641788E-3"/>
          <c:w val="0.97136723534558178"/>
          <c:h val="0.27873031496062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18462804089787"/>
          <c:y val="0.28971385569810765"/>
          <c:w val="0.85487268382496961"/>
          <c:h val="0.596308940403428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Rice!$P$31</c:f>
              <c:strCache>
                <c:ptCount val="1"/>
                <c:pt idx="0">
                  <c:v>Tillage</c:v>
                </c:pt>
              </c:strCache>
            </c:strRef>
          </c:tx>
          <c:spPr>
            <a:gradFill rotWithShape="1">
              <a:gsLst>
                <a:gs pos="0">
                  <a:srgbClr val="825600"/>
                </a:gs>
                <a:gs pos="13000">
                  <a:srgbClr val="FFA800"/>
                </a:gs>
                <a:gs pos="28000">
                  <a:srgbClr val="825600"/>
                </a:gs>
                <a:gs pos="42999">
                  <a:srgbClr val="FFA800"/>
                </a:gs>
                <a:gs pos="58000">
                  <a:srgbClr val="825600"/>
                </a:gs>
                <a:gs pos="72000">
                  <a:srgbClr val="FFA800"/>
                </a:gs>
                <a:gs pos="87000">
                  <a:srgbClr val="825600"/>
                </a:gs>
                <a:gs pos="100000">
                  <a:srgbClr val="FFA800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Rice!$P$32:$P$37</c:f>
              <c:numCache>
                <c:formatCode>General</c:formatCode>
                <c:ptCount val="6"/>
                <c:pt idx="0">
                  <c:v>4.5252547974111037</c:v>
                </c:pt>
                <c:pt idx="1">
                  <c:v>4.5252547974111037</c:v>
                </c:pt>
                <c:pt idx="2">
                  <c:v>3.6540165379990825</c:v>
                </c:pt>
                <c:pt idx="3">
                  <c:v>3.7761984685749757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3D-4461-8500-DF2A3D6A0065}"/>
            </c:ext>
          </c:extLst>
        </c:ser>
        <c:ser>
          <c:idx val="1"/>
          <c:order val="1"/>
          <c:tx>
            <c:strRef>
              <c:f>Rice!$Q$31</c:f>
              <c:strCache>
                <c:ptCount val="1"/>
                <c:pt idx="0">
                  <c:v>Puddling</c:v>
                </c:pt>
              </c:strCache>
            </c:strRef>
          </c:tx>
          <c:spPr>
            <a:gradFill rotWithShape="1">
              <a:gsLst>
                <a:gs pos="0">
                  <a:srgbClr val="CCCCFF"/>
                </a:gs>
                <a:gs pos="17999">
                  <a:srgbClr val="99CCFF"/>
                </a:gs>
                <a:gs pos="36000">
                  <a:srgbClr val="9966FF"/>
                </a:gs>
                <a:gs pos="61000">
                  <a:srgbClr val="CC99FF"/>
                </a:gs>
                <a:gs pos="82001">
                  <a:srgbClr val="99CCFF"/>
                </a:gs>
                <a:gs pos="100000">
                  <a:srgbClr val="CCCCFF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Rice!$Q$32:$Q$37</c:f>
              <c:numCache>
                <c:formatCode>General</c:formatCode>
                <c:ptCount val="6"/>
                <c:pt idx="0">
                  <c:v>3.1616936076121505</c:v>
                </c:pt>
                <c:pt idx="1">
                  <c:v>3.1616936076121505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B3D-4461-8500-DF2A3D6A0065}"/>
            </c:ext>
          </c:extLst>
        </c:ser>
        <c:ser>
          <c:idx val="2"/>
          <c:order val="2"/>
          <c:tx>
            <c:strRef>
              <c:f>Rice!$R$31</c:f>
              <c:strCache>
                <c:ptCount val="1"/>
                <c:pt idx="0">
                  <c:v>Nursery raising &amp; transplanting /sowing</c:v>
                </c:pt>
              </c:strCache>
            </c:strRef>
          </c:tx>
          <c:spPr>
            <a:gradFill rotWithShape="1">
              <a:gsLst>
                <a:gs pos="0">
                  <a:srgbClr val="DDEBCF"/>
                </a:gs>
                <a:gs pos="50000">
                  <a:srgbClr val="9CB86E"/>
                </a:gs>
                <a:gs pos="100000">
                  <a:srgbClr val="156B13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Rice!$R$32:$R$37</c:f>
              <c:numCache>
                <c:formatCode>General</c:formatCode>
                <c:ptCount val="6"/>
                <c:pt idx="0">
                  <c:v>2.2370261031532785</c:v>
                </c:pt>
                <c:pt idx="1">
                  <c:v>2.2370261031532785</c:v>
                </c:pt>
                <c:pt idx="2">
                  <c:v>1.1779120177165583</c:v>
                </c:pt>
                <c:pt idx="3">
                  <c:v>1.2172986934134242</c:v>
                </c:pt>
                <c:pt idx="4">
                  <c:v>1.2512367975823826</c:v>
                </c:pt>
                <c:pt idx="5">
                  <c:v>1.2952374834116624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B3D-4461-8500-DF2A3D6A0065}"/>
            </c:ext>
          </c:extLst>
        </c:ser>
        <c:ser>
          <c:idx val="3"/>
          <c:order val="3"/>
          <c:tx>
            <c:strRef>
              <c:f>Rice!$S$31</c:f>
              <c:strCache>
                <c:ptCount val="1"/>
                <c:pt idx="0">
                  <c:v>Seed</c:v>
                </c:pt>
              </c:strCache>
            </c:strRef>
          </c:tx>
          <c:spPr>
            <a:gradFill rotWithShape="1">
              <a:gsLst>
                <a:gs pos="0">
                  <a:srgbClr val="FFF200"/>
                </a:gs>
                <a:gs pos="45000">
                  <a:srgbClr val="FF7A00"/>
                </a:gs>
                <a:gs pos="70000">
                  <a:srgbClr val="FF0300"/>
                </a:gs>
                <a:gs pos="100000">
                  <a:srgbClr val="4D0808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Rice!$S$32:$S$37</c:f>
              <c:numCache>
                <c:formatCode>General</c:formatCode>
                <c:ptCount val="6"/>
                <c:pt idx="0">
                  <c:v>0.42041191569784897</c:v>
                </c:pt>
                <c:pt idx="1">
                  <c:v>0.42041191569784897</c:v>
                </c:pt>
                <c:pt idx="2">
                  <c:v>0.81999913149509984</c:v>
                </c:pt>
                <c:pt idx="3">
                  <c:v>0.84741802134267841</c:v>
                </c:pt>
                <c:pt idx="4">
                  <c:v>0.87104390810210253</c:v>
                </c:pt>
                <c:pt idx="5">
                  <c:v>0.90167482418286549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B3D-4461-8500-DF2A3D6A0065}"/>
            </c:ext>
          </c:extLst>
        </c:ser>
        <c:ser>
          <c:idx val="4"/>
          <c:order val="4"/>
          <c:tx>
            <c:strRef>
              <c:f>Rice!$T$31</c:f>
              <c:strCache>
                <c:ptCount val="1"/>
                <c:pt idx="0">
                  <c:v>Fertilizers</c:v>
                </c:pt>
              </c:strCache>
            </c:strRef>
          </c:tx>
          <c:spPr>
            <a:gradFill rotWithShape="1">
              <a:gsLst>
                <a:gs pos="0">
                  <a:srgbClr val="000000"/>
                </a:gs>
                <a:gs pos="39999">
                  <a:srgbClr val="0A128C"/>
                </a:gs>
                <a:gs pos="70000">
                  <a:srgbClr val="181CC7"/>
                </a:gs>
                <a:gs pos="88000">
                  <a:srgbClr val="7005D4"/>
                </a:gs>
                <a:gs pos="100000">
                  <a:srgbClr val="8C3D91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Rice!$T$32:$T$37</c:f>
              <c:numCache>
                <c:formatCode>General</c:formatCode>
                <c:ptCount val="6"/>
                <c:pt idx="0">
                  <c:v>33.742546348409832</c:v>
                </c:pt>
                <c:pt idx="1">
                  <c:v>33.742546348409832</c:v>
                </c:pt>
                <c:pt idx="2">
                  <c:v>37.581341147974229</c:v>
                </c:pt>
                <c:pt idx="3">
                  <c:v>38.837974982917174</c:v>
                </c:pt>
                <c:pt idx="4">
                  <c:v>40.404128162161378</c:v>
                </c:pt>
                <c:pt idx="5">
                  <c:v>38.308394374180189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B3D-4461-8500-DF2A3D6A0065}"/>
            </c:ext>
          </c:extLst>
        </c:ser>
        <c:ser>
          <c:idx val="5"/>
          <c:order val="5"/>
          <c:tx>
            <c:strRef>
              <c:f>Rice!$U$31</c:f>
              <c:strCache>
                <c:ptCount val="1"/>
                <c:pt idx="0">
                  <c:v>Pesticides</c:v>
                </c:pt>
              </c:strCache>
            </c:strRef>
          </c:tx>
          <c:spPr>
            <a:gradFill rotWithShape="1">
              <a:gsLst>
                <a:gs pos="0">
                  <a:srgbClr val="A603AB"/>
                </a:gs>
                <a:gs pos="21001">
                  <a:srgbClr val="0819FB"/>
                </a:gs>
                <a:gs pos="35001">
                  <a:srgbClr val="1A8D48"/>
                </a:gs>
                <a:gs pos="52000">
                  <a:srgbClr val="FFFF00"/>
                </a:gs>
                <a:gs pos="73000">
                  <a:srgbClr val="EE3F17"/>
                </a:gs>
                <a:gs pos="88000">
                  <a:srgbClr val="E81766"/>
                </a:gs>
                <a:gs pos="100000">
                  <a:srgbClr val="A603AB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Rice!$U$32:$U$37</c:f>
              <c:numCache>
                <c:formatCode>General</c:formatCode>
                <c:ptCount val="6"/>
                <c:pt idx="0">
                  <c:v>4.5603539067698096</c:v>
                </c:pt>
                <c:pt idx="1">
                  <c:v>4.5603539067698096</c:v>
                </c:pt>
                <c:pt idx="2">
                  <c:v>0.9800942000250954</c:v>
                </c:pt>
                <c:pt idx="3">
                  <c:v>0.98404255947751818</c:v>
                </c:pt>
                <c:pt idx="4">
                  <c:v>1.6040243940356405</c:v>
                </c:pt>
                <c:pt idx="5">
                  <c:v>1.6604311218115761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3B3D-4461-8500-DF2A3D6A0065}"/>
            </c:ext>
          </c:extLst>
        </c:ser>
        <c:ser>
          <c:idx val="6"/>
          <c:order val="6"/>
          <c:tx>
            <c:strRef>
              <c:f>Rice!$V$31</c:f>
              <c:strCache>
                <c:ptCount val="1"/>
                <c:pt idx="0">
                  <c:v>Irrigation (electricity)</c:v>
                </c:pt>
              </c:strCache>
            </c:strRef>
          </c:tx>
          <c:spPr>
            <a:gradFill rotWithShape="1"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Rice!$V$32:$V$37</c:f>
              <c:numCache>
                <c:formatCode>General</c:formatCode>
                <c:ptCount val="6"/>
                <c:pt idx="0">
                  <c:v>46.836277499100191</c:v>
                </c:pt>
                <c:pt idx="1">
                  <c:v>46.836277499100191</c:v>
                </c:pt>
                <c:pt idx="2">
                  <c:v>49.442412038341423</c:v>
                </c:pt>
                <c:pt idx="3">
                  <c:v>48.112200705574082</c:v>
                </c:pt>
                <c:pt idx="4">
                  <c:v>45.976062324212137</c:v>
                </c:pt>
                <c:pt idx="5">
                  <c:v>47.592845236850096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B3D-4461-8500-DF2A3D6A0065}"/>
            </c:ext>
          </c:extLst>
        </c:ser>
        <c:ser>
          <c:idx val="7"/>
          <c:order val="7"/>
          <c:tx>
            <c:strRef>
              <c:f>Rice!$W$31</c:f>
              <c:strCache>
                <c:ptCount val="1"/>
                <c:pt idx="0">
                  <c:v>Weeding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Rice!$W$32:$W$37</c:f>
              <c:numCache>
                <c:formatCode>General</c:formatCode>
                <c:ptCount val="6"/>
                <c:pt idx="0">
                  <c:v>0.10762545041864933</c:v>
                </c:pt>
                <c:pt idx="1">
                  <c:v>0.10762545041864933</c:v>
                </c:pt>
                <c:pt idx="2">
                  <c:v>0.17493314805228799</c:v>
                </c:pt>
                <c:pt idx="3">
                  <c:v>0.18078251121977137</c:v>
                </c:pt>
                <c:pt idx="4">
                  <c:v>0.1858227003951152</c:v>
                </c:pt>
                <c:pt idx="5">
                  <c:v>0.19235729582567798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3B3D-4461-8500-DF2A3D6A0065}"/>
            </c:ext>
          </c:extLst>
        </c:ser>
        <c:ser>
          <c:idx val="8"/>
          <c:order val="8"/>
          <c:tx>
            <c:strRef>
              <c:f>Rice!$X$31</c:f>
              <c:strCache>
                <c:ptCount val="1"/>
                <c:pt idx="0">
                  <c:v>Inputs application</c:v>
                </c:pt>
              </c:strCache>
            </c:strRef>
          </c:tx>
          <c:spPr>
            <a:gradFill rotWithShape="1">
              <a:gsLst>
                <a:gs pos="0">
                  <a:srgbClr val="FFEFD1"/>
                </a:gs>
                <a:gs pos="64999">
                  <a:srgbClr val="F0EBD5"/>
                </a:gs>
                <a:gs pos="100000">
                  <a:srgbClr val="D1C39F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Rice!$X$32:$X$37</c:f>
              <c:numCache>
                <c:formatCode>General</c:formatCode>
                <c:ptCount val="6"/>
                <c:pt idx="0">
                  <c:v>5.4765060558989749</c:v>
                </c:pt>
                <c:pt idx="1">
                  <c:v>5.4765060558989749</c:v>
                </c:pt>
                <c:pt idx="2">
                  <c:v>5.6084012160028083</c:v>
                </c:pt>
                <c:pt idx="3">
                  <c:v>5.464438601385095</c:v>
                </c:pt>
                <c:pt idx="4">
                  <c:v>5.2303975164911973</c:v>
                </c:pt>
                <c:pt idx="5">
                  <c:v>5.4143283905911668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B3D-4461-8500-DF2A3D6A0065}"/>
            </c:ext>
          </c:extLst>
        </c:ser>
        <c:ser>
          <c:idx val="9"/>
          <c:order val="9"/>
          <c:tx>
            <c:strRef>
              <c:f>Rice!$Y$31</c:f>
              <c:strCache>
                <c:ptCount val="1"/>
                <c:pt idx="0">
                  <c:v>Harvesting &amp; threshing </c:v>
                </c:pt>
              </c:strCache>
            </c:strRef>
          </c:tx>
          <c:spPr>
            <a:gradFill rotWithShape="1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Rice!$Y$32:$Y$37</c:f>
              <c:numCache>
                <c:formatCode>General</c:formatCode>
                <c:ptCount val="6"/>
                <c:pt idx="0">
                  <c:v>2.5766960514771022</c:v>
                </c:pt>
                <c:pt idx="1">
                  <c:v>2.5766960514771022</c:v>
                </c:pt>
                <c:pt idx="2">
                  <c:v>3.1410987139108215</c:v>
                </c:pt>
                <c:pt idx="3">
                  <c:v>3.2461298491024637</c:v>
                </c:pt>
                <c:pt idx="4">
                  <c:v>3.3366314602196865</c:v>
                </c:pt>
                <c:pt idx="5">
                  <c:v>3.453966622431099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3B3D-4461-8500-DF2A3D6A0065}"/>
            </c:ext>
          </c:extLst>
        </c:ser>
        <c:ser>
          <c:idx val="10"/>
          <c:order val="10"/>
          <c:tx>
            <c:strRef>
              <c:f>Rice!$Z$31</c:f>
              <c:strCache>
                <c:ptCount val="1"/>
                <c:pt idx="0">
                  <c:v>Transportation</c:v>
                </c:pt>
              </c:strCache>
            </c:strRef>
          </c:tx>
          <c:spPr>
            <a:gradFill>
              <a:gsLst>
                <a:gs pos="0">
                  <a:srgbClr val="000000"/>
                </a:gs>
                <a:gs pos="20000">
                  <a:srgbClr val="000040"/>
                </a:gs>
                <a:gs pos="50000">
                  <a:srgbClr val="400040"/>
                </a:gs>
                <a:gs pos="75000">
                  <a:srgbClr val="8F0040"/>
                </a:gs>
                <a:gs pos="89999">
                  <a:srgbClr val="F27300"/>
                </a:gs>
                <a:gs pos="100000">
                  <a:srgbClr val="FFBF00"/>
                </a:gs>
              </a:gsLst>
              <a:lin ang="54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Rice!$O$32:$O$37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Rice!$Z$32:$Z$37</c:f>
              <c:numCache>
                <c:formatCode>General</c:formatCode>
                <c:ptCount val="6"/>
                <c:pt idx="0">
                  <c:v>0.88086306146215976</c:v>
                </c:pt>
                <c:pt idx="1">
                  <c:v>0.88086306146215976</c:v>
                </c:pt>
                <c:pt idx="2">
                  <c:v>1.0738083864816785</c:v>
                </c:pt>
                <c:pt idx="3">
                  <c:v>1.109714075567793</c:v>
                </c:pt>
                <c:pt idx="4">
                  <c:v>1.1406527368003723</c:v>
                </c:pt>
                <c:pt idx="5">
                  <c:v>1.1807646507156573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3B3D-4461-8500-DF2A3D6A0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975296"/>
        <c:axId val="199977216"/>
      </c:barChart>
      <c:catAx>
        <c:axId val="1999752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/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77216"/>
        <c:crosses val="autoZero"/>
        <c:auto val="1"/>
        <c:lblAlgn val="ctr"/>
        <c:lblOffset val="100"/>
        <c:noMultiLvlLbl val="0"/>
      </c:catAx>
      <c:valAx>
        <c:axId val="19997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7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139303482587069E-2"/>
          <c:y val="6.8696052168736761E-3"/>
          <c:w val="0.92786069651741299"/>
          <c:h val="0.27851403189985868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Wheat!$J$21:$J$22</c:f>
              <c:strCache>
                <c:ptCount val="1"/>
                <c:pt idx="0">
                  <c:v>Field operations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Wheat!$I$23:$I$28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Wheat!$J$23:$J$28</c:f>
              <c:numCache>
                <c:formatCode>0</c:formatCode>
                <c:ptCount val="6"/>
                <c:pt idx="0">
                  <c:v>12.377179140824524</c:v>
                </c:pt>
                <c:pt idx="1">
                  <c:v>12.377179140824524</c:v>
                </c:pt>
                <c:pt idx="2" formatCode="0.00">
                  <c:v>0.12716583159947542</c:v>
                </c:pt>
                <c:pt idx="3" formatCode="0.00">
                  <c:v>0.21796090762928119</c:v>
                </c:pt>
                <c:pt idx="4" formatCode="0.00">
                  <c:v>0.29095364856372768</c:v>
                </c:pt>
                <c:pt idx="5" formatCode="0.00">
                  <c:v>0.34600707667313418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8A-49FF-8FF8-45BF40A88993}"/>
            </c:ext>
          </c:extLst>
        </c:ser>
        <c:ser>
          <c:idx val="1"/>
          <c:order val="1"/>
          <c:tx>
            <c:strRef>
              <c:f>Wheat!$K$21:$K$22</c:f>
              <c:strCache>
                <c:ptCount val="1"/>
                <c:pt idx="0">
                  <c:v>Production Inputs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Wheat!$I$23:$I$28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Wheat!$K$23:$K$28</c:f>
              <c:numCache>
                <c:formatCode>0</c:formatCode>
                <c:ptCount val="6"/>
                <c:pt idx="0">
                  <c:v>80.781961997750869</c:v>
                </c:pt>
                <c:pt idx="1">
                  <c:v>80.781961997750869</c:v>
                </c:pt>
                <c:pt idx="2">
                  <c:v>83.416304305812943</c:v>
                </c:pt>
                <c:pt idx="3">
                  <c:v>87.760784207229676</c:v>
                </c:pt>
                <c:pt idx="4">
                  <c:v>87.027284550544138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38A-49FF-8FF8-45BF40A88993}"/>
            </c:ext>
          </c:extLst>
        </c:ser>
        <c:ser>
          <c:idx val="2"/>
          <c:order val="2"/>
          <c:tx>
            <c:strRef>
              <c:f>Wheat!$L$21:$L$22</c:f>
              <c:strCache>
                <c:ptCount val="1"/>
                <c:pt idx="0">
                  <c:v>Crop management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Wheat!$I$23:$I$28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Wheat!$L$23:$L$28</c:f>
              <c:numCache>
                <c:formatCode>0</c:formatCode>
                <c:ptCount val="6"/>
                <c:pt idx="0">
                  <c:v>1.9598456216884161</c:v>
                </c:pt>
                <c:pt idx="1">
                  <c:v>1.9598456216884161</c:v>
                </c:pt>
                <c:pt idx="2">
                  <c:v>2.1245925668812435</c:v>
                </c:pt>
                <c:pt idx="3">
                  <c:v>1.9240077057878755</c:v>
                </c:pt>
                <c:pt idx="4">
                  <c:v>2.0393140306007234</c:v>
                </c:pt>
                <c:pt idx="5">
                  <c:v>2.1262816986506881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38A-49FF-8FF8-45BF40A88993}"/>
            </c:ext>
          </c:extLst>
        </c:ser>
        <c:ser>
          <c:idx val="3"/>
          <c:order val="3"/>
          <c:tx>
            <c:strRef>
              <c:f>Wheat!$M$21:$M$22</c:f>
              <c:strCache>
                <c:ptCount val="1"/>
                <c:pt idx="0">
                  <c:v>Harvesting and  Threshing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Wheat!$I$23:$I$28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Wheat!$M$23:$M$28</c:f>
              <c:numCache>
                <c:formatCode>0</c:formatCode>
                <c:ptCount val="6"/>
                <c:pt idx="0">
                  <c:v>3.3963668538996488</c:v>
                </c:pt>
                <c:pt idx="1">
                  <c:v>3.3963668538996488</c:v>
                </c:pt>
                <c:pt idx="2">
                  <c:v>3.8282686692926919</c:v>
                </c:pt>
                <c:pt idx="3">
                  <c:v>4.1366420560176227</c:v>
                </c:pt>
                <c:pt idx="4">
                  <c:v>4.3845521819026612</c:v>
                </c:pt>
                <c:pt idx="5">
                  <c:v>4.5715338203269962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38A-49FF-8FF8-45BF40A88993}"/>
            </c:ext>
          </c:extLst>
        </c:ser>
        <c:ser>
          <c:idx val="4"/>
          <c:order val="4"/>
          <c:tx>
            <c:strRef>
              <c:f>Wheat!$N$21:$N$22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Wheat!$I$23:$I$28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Wheat!$N$23:$N$28</c:f>
              <c:numCache>
                <c:formatCode>0</c:formatCode>
                <c:ptCount val="6"/>
                <c:pt idx="0">
                  <c:v>1.4846463858365337</c:v>
                </c:pt>
                <c:pt idx="1">
                  <c:v>1.4846463858365337</c:v>
                </c:pt>
                <c:pt idx="2">
                  <c:v>1.6734426781225922</c:v>
                </c:pt>
                <c:pt idx="3">
                  <c:v>1.8082412596019966</c:v>
                </c:pt>
                <c:pt idx="4">
                  <c:v>1.9166096686226248</c:v>
                </c:pt>
                <c:pt idx="5">
                  <c:v>1.9983445416931667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38A-49FF-8FF8-45BF40A889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9116288"/>
        <c:axId val="199117824"/>
      </c:barChart>
      <c:catAx>
        <c:axId val="1991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17824"/>
        <c:crosses val="autoZero"/>
        <c:auto val="1"/>
        <c:lblAlgn val="ctr"/>
        <c:lblOffset val="100"/>
        <c:noMultiLvlLbl val="0"/>
      </c:catAx>
      <c:valAx>
        <c:axId val="1991178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911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Wheat!$B$32</c:f>
              <c:strCache>
                <c:ptCount val="1"/>
                <c:pt idx="0">
                  <c:v>Sc1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Wheat!$C$31:$L$31</c:f>
              <c:strCache>
                <c:ptCount val="10"/>
                <c:pt idx="0">
                  <c:v>Tillage </c:v>
                </c:pt>
                <c:pt idx="1">
                  <c:v>Sowing</c:v>
                </c:pt>
                <c:pt idx="2">
                  <c:v>Seed</c:v>
                </c:pt>
                <c:pt idx="3">
                  <c:v>Fertilizers</c:v>
                </c:pt>
                <c:pt idx="4">
                  <c:v>Pesticides</c:v>
                </c:pt>
                <c:pt idx="5">
                  <c:v>Irrigation</c:v>
                </c:pt>
                <c:pt idx="6">
                  <c:v>Weeding</c:v>
                </c:pt>
                <c:pt idx="7">
                  <c:v>Inputs application</c:v>
                </c:pt>
                <c:pt idx="8">
                  <c:v>Harvesting &amp; threshing</c:v>
                </c:pt>
                <c:pt idx="9">
                  <c:v>Transportation</c:v>
                </c:pt>
              </c:strCache>
            </c:strRef>
          </c:cat>
          <c:val>
            <c:numRef>
              <c:f>Wheat!$C$32:$L$32</c:f>
              <c:numCache>
                <c:formatCode>General</c:formatCode>
                <c:ptCount val="10"/>
                <c:pt idx="0">
                  <c:v>2228.2002222222222</c:v>
                </c:pt>
                <c:pt idx="1">
                  <c:v>849.90788888888881</c:v>
                </c:pt>
                <c:pt idx="2">
                  <c:v>1470</c:v>
                </c:pt>
                <c:pt idx="3" formatCode="0">
                  <c:v>14327.9</c:v>
                </c:pt>
                <c:pt idx="4" formatCode="0">
                  <c:v>364</c:v>
                </c:pt>
                <c:pt idx="5" formatCode="0">
                  <c:v>3927.9451599999998</c:v>
                </c:pt>
                <c:pt idx="6">
                  <c:v>15.68</c:v>
                </c:pt>
                <c:pt idx="7">
                  <c:v>471.71835111111113</c:v>
                </c:pt>
                <c:pt idx="8">
                  <c:v>844.65000000000009</c:v>
                </c:pt>
                <c:pt idx="9">
                  <c:v>369.22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05-4F0F-864B-8E870948EFD7}"/>
            </c:ext>
          </c:extLst>
        </c:ser>
        <c:ser>
          <c:idx val="1"/>
          <c:order val="1"/>
          <c:tx>
            <c:strRef>
              <c:f>Wheat!$B$33</c:f>
              <c:strCache>
                <c:ptCount val="1"/>
                <c:pt idx="0">
                  <c:v>Sc2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Wheat!$C$31:$L$31</c:f>
              <c:strCache>
                <c:ptCount val="10"/>
                <c:pt idx="0">
                  <c:v>Tillage </c:v>
                </c:pt>
                <c:pt idx="1">
                  <c:v>Sowing</c:v>
                </c:pt>
                <c:pt idx="2">
                  <c:v>Seed</c:v>
                </c:pt>
                <c:pt idx="3">
                  <c:v>Fertilizers</c:v>
                </c:pt>
                <c:pt idx="4">
                  <c:v>Pesticides</c:v>
                </c:pt>
                <c:pt idx="5">
                  <c:v>Irrigation</c:v>
                </c:pt>
                <c:pt idx="6">
                  <c:v>Weeding</c:v>
                </c:pt>
                <c:pt idx="7">
                  <c:v>Inputs application</c:v>
                </c:pt>
                <c:pt idx="8">
                  <c:v>Harvesting &amp; threshing</c:v>
                </c:pt>
                <c:pt idx="9">
                  <c:v>Transportation</c:v>
                </c:pt>
              </c:strCache>
            </c:strRef>
          </c:cat>
          <c:val>
            <c:numRef>
              <c:f>Wheat!$C$33:$L$33</c:f>
              <c:numCache>
                <c:formatCode>General</c:formatCode>
                <c:ptCount val="10"/>
                <c:pt idx="0">
                  <c:v>2228.2002222222222</c:v>
                </c:pt>
                <c:pt idx="1">
                  <c:v>849.90788888888881</c:v>
                </c:pt>
                <c:pt idx="2">
                  <c:v>1470</c:v>
                </c:pt>
                <c:pt idx="3" formatCode="0">
                  <c:v>14327.9</c:v>
                </c:pt>
                <c:pt idx="4" formatCode="0">
                  <c:v>364</c:v>
                </c:pt>
                <c:pt idx="5" formatCode="0">
                  <c:v>3927.9451599999998</c:v>
                </c:pt>
                <c:pt idx="6">
                  <c:v>15.68</c:v>
                </c:pt>
                <c:pt idx="7">
                  <c:v>471.71835111111113</c:v>
                </c:pt>
                <c:pt idx="8">
                  <c:v>844.65000000000009</c:v>
                </c:pt>
                <c:pt idx="9">
                  <c:v>369.22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F05-4F0F-864B-8E870948EFD7}"/>
            </c:ext>
          </c:extLst>
        </c:ser>
        <c:ser>
          <c:idx val="2"/>
          <c:order val="2"/>
          <c:tx>
            <c:strRef>
              <c:f>Wheat!$B$34</c:f>
              <c:strCache>
                <c:ptCount val="1"/>
                <c:pt idx="0">
                  <c:v>Sc3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Wheat!$C$31:$L$31</c:f>
              <c:strCache>
                <c:ptCount val="10"/>
                <c:pt idx="0">
                  <c:v>Tillage </c:v>
                </c:pt>
                <c:pt idx="1">
                  <c:v>Sowing</c:v>
                </c:pt>
                <c:pt idx="2">
                  <c:v>Seed</c:v>
                </c:pt>
                <c:pt idx="3">
                  <c:v>Fertilizers</c:v>
                </c:pt>
                <c:pt idx="4">
                  <c:v>Pesticides</c:v>
                </c:pt>
                <c:pt idx="5">
                  <c:v>Irrigation</c:v>
                </c:pt>
                <c:pt idx="6">
                  <c:v>Weeding</c:v>
                </c:pt>
                <c:pt idx="7">
                  <c:v>Inputs application</c:v>
                </c:pt>
                <c:pt idx="8">
                  <c:v>Harvesting &amp; threshing</c:v>
                </c:pt>
                <c:pt idx="9">
                  <c:v>Transportation</c:v>
                </c:pt>
              </c:strCache>
            </c:strRef>
          </c:cat>
          <c:val>
            <c:numRef>
              <c:f>Wheat!$C$34:$L$34</c:f>
              <c:numCache>
                <c:formatCode>General</c:formatCode>
                <c:ptCount val="10"/>
                <c:pt idx="0">
                  <c:v>1382.2123333333336</c:v>
                </c:pt>
                <c:pt idx="1">
                  <c:v>594.1016666666668</c:v>
                </c:pt>
                <c:pt idx="2">
                  <c:v>1470</c:v>
                </c:pt>
                <c:pt idx="3" formatCode="0">
                  <c:v>12751.799999999997</c:v>
                </c:pt>
                <c:pt idx="4" formatCode="0">
                  <c:v>352</c:v>
                </c:pt>
                <c:pt idx="5" formatCode="0">
                  <c:v>3830.75504</c:v>
                </c:pt>
                <c:pt idx="6">
                  <c:v>15.68</c:v>
                </c:pt>
                <c:pt idx="7">
                  <c:v>453.07944888888892</c:v>
                </c:pt>
                <c:pt idx="8">
                  <c:v>844.65000000000009</c:v>
                </c:pt>
                <c:pt idx="9">
                  <c:v>369.22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F05-4F0F-864B-8E870948EFD7}"/>
            </c:ext>
          </c:extLst>
        </c:ser>
        <c:ser>
          <c:idx val="3"/>
          <c:order val="3"/>
          <c:tx>
            <c:strRef>
              <c:f>Wheat!$B$35</c:f>
              <c:strCache>
                <c:ptCount val="1"/>
                <c:pt idx="0">
                  <c:v>Sc4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Wheat!$C$31:$L$31</c:f>
              <c:strCache>
                <c:ptCount val="10"/>
                <c:pt idx="0">
                  <c:v>Tillage </c:v>
                </c:pt>
                <c:pt idx="1">
                  <c:v>Sowing</c:v>
                </c:pt>
                <c:pt idx="2">
                  <c:v>Seed</c:v>
                </c:pt>
                <c:pt idx="3">
                  <c:v>Fertilizers</c:v>
                </c:pt>
                <c:pt idx="4">
                  <c:v>Pesticides</c:v>
                </c:pt>
                <c:pt idx="5">
                  <c:v>Irrigation</c:v>
                </c:pt>
                <c:pt idx="6">
                  <c:v>Weeding</c:v>
                </c:pt>
                <c:pt idx="7">
                  <c:v>Inputs application</c:v>
                </c:pt>
                <c:pt idx="8">
                  <c:v>Harvesting &amp; threshing</c:v>
                </c:pt>
                <c:pt idx="9">
                  <c:v>Transportation</c:v>
                </c:pt>
              </c:strCache>
            </c:strRef>
          </c:cat>
          <c:val>
            <c:numRef>
              <c:f>Wheat!$C$35:$L$35</c:f>
              <c:numCache>
                <c:formatCode>General</c:formatCode>
                <c:ptCount val="10"/>
                <c:pt idx="0">
                  <c:v>0</c:v>
                </c:pt>
                <c:pt idx="1">
                  <c:v>892.36505555555561</c:v>
                </c:pt>
                <c:pt idx="2">
                  <c:v>1470</c:v>
                </c:pt>
                <c:pt idx="3" formatCode="0">
                  <c:v>12751.799999999997</c:v>
                </c:pt>
                <c:pt idx="4" formatCode="0">
                  <c:v>462</c:v>
                </c:pt>
                <c:pt idx="5" formatCode="0">
                  <c:v>3235.8424</c:v>
                </c:pt>
                <c:pt idx="6">
                  <c:v>0</c:v>
                </c:pt>
                <c:pt idx="7">
                  <c:v>392.85804444444443</c:v>
                </c:pt>
                <c:pt idx="8">
                  <c:v>844.65000000000009</c:v>
                </c:pt>
                <c:pt idx="9">
                  <c:v>369.22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F05-4F0F-864B-8E870948EFD7}"/>
            </c:ext>
          </c:extLst>
        </c:ser>
        <c:ser>
          <c:idx val="4"/>
          <c:order val="4"/>
          <c:tx>
            <c:strRef>
              <c:f>Wheat!$B$36</c:f>
              <c:strCache>
                <c:ptCount val="1"/>
                <c:pt idx="0">
                  <c:v>Sc5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Wheat!$C$31:$L$31</c:f>
              <c:strCache>
                <c:ptCount val="10"/>
                <c:pt idx="0">
                  <c:v>Tillage </c:v>
                </c:pt>
                <c:pt idx="1">
                  <c:v>Sowing</c:v>
                </c:pt>
                <c:pt idx="2">
                  <c:v>Seed</c:v>
                </c:pt>
                <c:pt idx="3">
                  <c:v>Fertilizers</c:v>
                </c:pt>
                <c:pt idx="4">
                  <c:v>Pesticides</c:v>
                </c:pt>
                <c:pt idx="5">
                  <c:v>Irrigation</c:v>
                </c:pt>
                <c:pt idx="6">
                  <c:v>Weeding</c:v>
                </c:pt>
                <c:pt idx="7">
                  <c:v>Inputs application</c:v>
                </c:pt>
                <c:pt idx="8">
                  <c:v>Harvesting &amp; threshing</c:v>
                </c:pt>
                <c:pt idx="9">
                  <c:v>Transportation</c:v>
                </c:pt>
              </c:strCache>
            </c:strRef>
          </c:cat>
          <c:val>
            <c:numRef>
              <c:f>Wheat!$C$36:$L$36</c:f>
              <c:numCache>
                <c:formatCode>General</c:formatCode>
                <c:ptCount val="10"/>
                <c:pt idx="0">
                  <c:v>0</c:v>
                </c:pt>
                <c:pt idx="1">
                  <c:v>892.36505555555561</c:v>
                </c:pt>
                <c:pt idx="2">
                  <c:v>1470</c:v>
                </c:pt>
                <c:pt idx="3" formatCode="0">
                  <c:v>11597.289555555553</c:v>
                </c:pt>
                <c:pt idx="4" formatCode="0">
                  <c:v>462</c:v>
                </c:pt>
                <c:pt idx="5" formatCode="0">
                  <c:v>3235.8424</c:v>
                </c:pt>
                <c:pt idx="6">
                  <c:v>0</c:v>
                </c:pt>
                <c:pt idx="7">
                  <c:v>392.85804444444443</c:v>
                </c:pt>
                <c:pt idx="8">
                  <c:v>844.65000000000009</c:v>
                </c:pt>
                <c:pt idx="9">
                  <c:v>369.22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F05-4F0F-864B-8E870948EFD7}"/>
            </c:ext>
          </c:extLst>
        </c:ser>
        <c:ser>
          <c:idx val="5"/>
          <c:order val="5"/>
          <c:tx>
            <c:strRef>
              <c:f>Wheat!$B$37</c:f>
              <c:strCache>
                <c:ptCount val="1"/>
                <c:pt idx="0">
                  <c:v>Sc6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Wheat!$C$31:$L$31</c:f>
              <c:strCache>
                <c:ptCount val="10"/>
                <c:pt idx="0">
                  <c:v>Tillage </c:v>
                </c:pt>
                <c:pt idx="1">
                  <c:v>Sowing</c:v>
                </c:pt>
                <c:pt idx="2">
                  <c:v>Seed</c:v>
                </c:pt>
                <c:pt idx="3">
                  <c:v>Fertilizers</c:v>
                </c:pt>
                <c:pt idx="4">
                  <c:v>Pesticides</c:v>
                </c:pt>
                <c:pt idx="5">
                  <c:v>Irrigation</c:v>
                </c:pt>
                <c:pt idx="6">
                  <c:v>Weeding</c:v>
                </c:pt>
                <c:pt idx="7">
                  <c:v>Inputs application</c:v>
                </c:pt>
                <c:pt idx="8">
                  <c:v>Harvesting &amp; threshing</c:v>
                </c:pt>
                <c:pt idx="9">
                  <c:v>Transportation</c:v>
                </c:pt>
              </c:strCache>
            </c:strRef>
          </c:cat>
          <c:val>
            <c:numRef>
              <c:f>Wheat!$C$37:$L$37</c:f>
              <c:numCache>
                <c:formatCode>General</c:formatCode>
                <c:ptCount val="10"/>
                <c:pt idx="0">
                  <c:v>0</c:v>
                </c:pt>
                <c:pt idx="1">
                  <c:v>892.36505555555561</c:v>
                </c:pt>
                <c:pt idx="2">
                  <c:v>1470</c:v>
                </c:pt>
                <c:pt idx="3" formatCode="0">
                  <c:v>10809.357866666665</c:v>
                </c:pt>
                <c:pt idx="4" formatCode="0">
                  <c:v>462</c:v>
                </c:pt>
                <c:pt idx="5" formatCode="0">
                  <c:v>3235.8424</c:v>
                </c:pt>
                <c:pt idx="6">
                  <c:v>0</c:v>
                </c:pt>
                <c:pt idx="7">
                  <c:v>392.85804444444443</c:v>
                </c:pt>
                <c:pt idx="8">
                  <c:v>844.65000000000009</c:v>
                </c:pt>
                <c:pt idx="9">
                  <c:v>369.22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F05-4F0F-864B-8E870948E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166976"/>
        <c:axId val="199996160"/>
      </c:barChart>
      <c:catAx>
        <c:axId val="19916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96160"/>
        <c:crosses val="autoZero"/>
        <c:auto val="1"/>
        <c:lblAlgn val="ctr"/>
        <c:lblOffset val="100"/>
        <c:noMultiLvlLbl val="0"/>
      </c:catAx>
      <c:valAx>
        <c:axId val="19999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56735623624236"/>
          <c:y val="0.20427910610390412"/>
          <c:w val="0.84778005322352801"/>
          <c:h val="0.6990366152011677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Wheat!$C$31</c:f>
              <c:strCache>
                <c:ptCount val="1"/>
                <c:pt idx="0">
                  <c:v>Tillage </c:v>
                </c:pt>
              </c:strCache>
            </c:strRef>
          </c:tx>
          <c:spPr>
            <a:gradFill>
              <a:gsLst>
                <a:gs pos="0">
                  <a:srgbClr val="825600"/>
                </a:gs>
                <a:gs pos="13000">
                  <a:srgbClr val="FFA800"/>
                </a:gs>
                <a:gs pos="28000">
                  <a:srgbClr val="825600"/>
                </a:gs>
                <a:gs pos="42999">
                  <a:srgbClr val="FFA800"/>
                </a:gs>
                <a:gs pos="58000">
                  <a:srgbClr val="825600"/>
                </a:gs>
                <a:gs pos="72000">
                  <a:srgbClr val="FFA800"/>
                </a:gs>
                <a:gs pos="87000">
                  <a:srgbClr val="825600"/>
                </a:gs>
                <a:gs pos="100000">
                  <a:srgbClr val="FFA800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Wheat!$C$32:$C$37</c:f>
              <c:numCache>
                <c:formatCode>General</c:formatCode>
                <c:ptCount val="6"/>
                <c:pt idx="0">
                  <c:v>2228.2002222222222</c:v>
                </c:pt>
                <c:pt idx="1">
                  <c:v>2228.2002222222222</c:v>
                </c:pt>
                <c:pt idx="2">
                  <c:v>1382.2123333333336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E-4CCA-AD73-8138E9FC307C}"/>
            </c:ext>
          </c:extLst>
        </c:ser>
        <c:ser>
          <c:idx val="1"/>
          <c:order val="1"/>
          <c:tx>
            <c:strRef>
              <c:f>Wheat!$D$31</c:f>
              <c:strCache>
                <c:ptCount val="1"/>
                <c:pt idx="0">
                  <c:v>Sowing</c:v>
                </c:pt>
              </c:strCache>
            </c:strRef>
          </c:tx>
          <c:spPr>
            <a:gradFill>
              <a:gsLst>
                <a:gs pos="0">
                  <a:srgbClr val="CCCCFF"/>
                </a:gs>
                <a:gs pos="17999">
                  <a:srgbClr val="99CCFF"/>
                </a:gs>
                <a:gs pos="36000">
                  <a:srgbClr val="9966FF"/>
                </a:gs>
                <a:gs pos="61000">
                  <a:srgbClr val="CC99FF"/>
                </a:gs>
                <a:gs pos="82001">
                  <a:srgbClr val="99CCFF"/>
                </a:gs>
                <a:gs pos="100000">
                  <a:srgbClr val="CCCCFF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Wheat!$D$32:$D$37</c:f>
              <c:numCache>
                <c:formatCode>General</c:formatCode>
                <c:ptCount val="6"/>
                <c:pt idx="0">
                  <c:v>849.90788888888881</c:v>
                </c:pt>
                <c:pt idx="1">
                  <c:v>849.90788888888881</c:v>
                </c:pt>
                <c:pt idx="2">
                  <c:v>594.1016666666668</c:v>
                </c:pt>
                <c:pt idx="3">
                  <c:v>892.36505555555561</c:v>
                </c:pt>
                <c:pt idx="4">
                  <c:v>892.36505555555561</c:v>
                </c:pt>
                <c:pt idx="5">
                  <c:v>892.36505555555561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BE-4CCA-AD73-8138E9FC307C}"/>
            </c:ext>
          </c:extLst>
        </c:ser>
        <c:ser>
          <c:idx val="2"/>
          <c:order val="2"/>
          <c:tx>
            <c:strRef>
              <c:f>Wheat!$E$31</c:f>
              <c:strCache>
                <c:ptCount val="1"/>
                <c:pt idx="0">
                  <c:v>Seed</c:v>
                </c:pt>
              </c:strCache>
            </c:strRef>
          </c:tx>
          <c:spPr>
            <a:gradFill>
              <a:gsLst>
                <a:gs pos="0">
                  <a:srgbClr val="FFF200"/>
                </a:gs>
                <a:gs pos="45000">
                  <a:srgbClr val="FF7A00"/>
                </a:gs>
                <a:gs pos="70000">
                  <a:srgbClr val="FF0300"/>
                </a:gs>
                <a:gs pos="100000">
                  <a:srgbClr val="4D080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Wheat!$E$32:$E$37</c:f>
              <c:numCache>
                <c:formatCode>General</c:formatCode>
                <c:ptCount val="6"/>
                <c:pt idx="0">
                  <c:v>1470</c:v>
                </c:pt>
                <c:pt idx="1">
                  <c:v>1470</c:v>
                </c:pt>
                <c:pt idx="2">
                  <c:v>1470</c:v>
                </c:pt>
                <c:pt idx="3">
                  <c:v>1470</c:v>
                </c:pt>
                <c:pt idx="4">
                  <c:v>1470</c:v>
                </c:pt>
                <c:pt idx="5">
                  <c:v>1470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4BE-4CCA-AD73-8138E9FC307C}"/>
            </c:ext>
          </c:extLst>
        </c:ser>
        <c:ser>
          <c:idx val="3"/>
          <c:order val="3"/>
          <c:tx>
            <c:strRef>
              <c:f>Wheat!$F$31</c:f>
              <c:strCache>
                <c:ptCount val="1"/>
                <c:pt idx="0">
                  <c:v>Fertilizers</c:v>
                </c:pt>
              </c:strCache>
            </c:strRef>
          </c:tx>
          <c:spPr>
            <a:gradFill>
              <a:gsLst>
                <a:gs pos="0">
                  <a:srgbClr val="000000"/>
                </a:gs>
                <a:gs pos="39999">
                  <a:srgbClr val="0A128C"/>
                </a:gs>
                <a:gs pos="70000">
                  <a:srgbClr val="181CC7"/>
                </a:gs>
                <a:gs pos="88000">
                  <a:srgbClr val="7005D4"/>
                </a:gs>
                <a:gs pos="100000">
                  <a:srgbClr val="8C3D91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Wheat!$F$32:$F$37</c:f>
              <c:numCache>
                <c:formatCode>0</c:formatCode>
                <c:ptCount val="6"/>
                <c:pt idx="0">
                  <c:v>14327.9</c:v>
                </c:pt>
                <c:pt idx="1">
                  <c:v>14327.9</c:v>
                </c:pt>
                <c:pt idx="2">
                  <c:v>12751.799999999997</c:v>
                </c:pt>
                <c:pt idx="3">
                  <c:v>12751.799999999997</c:v>
                </c:pt>
                <c:pt idx="4">
                  <c:v>11597.289555555553</c:v>
                </c:pt>
                <c:pt idx="5">
                  <c:v>10809.357866666665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4BE-4CCA-AD73-8138E9FC307C}"/>
            </c:ext>
          </c:extLst>
        </c:ser>
        <c:ser>
          <c:idx val="4"/>
          <c:order val="4"/>
          <c:tx>
            <c:strRef>
              <c:f>Wheat!$G$31</c:f>
              <c:strCache>
                <c:ptCount val="1"/>
                <c:pt idx="0">
                  <c:v>Pesticides</c:v>
                </c:pt>
              </c:strCache>
            </c:strRef>
          </c:tx>
          <c:spPr>
            <a:gradFill>
              <a:gsLst>
                <a:gs pos="0">
                  <a:srgbClr val="A603AB"/>
                </a:gs>
                <a:gs pos="21001">
                  <a:srgbClr val="0819FB"/>
                </a:gs>
                <a:gs pos="35001">
                  <a:srgbClr val="1A8D48"/>
                </a:gs>
                <a:gs pos="52000">
                  <a:srgbClr val="FFFF00"/>
                </a:gs>
                <a:gs pos="73000">
                  <a:srgbClr val="EE3F17"/>
                </a:gs>
                <a:gs pos="88000">
                  <a:srgbClr val="E81766"/>
                </a:gs>
                <a:gs pos="100000">
                  <a:srgbClr val="A603AB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Wheat!$G$32:$G$37</c:f>
              <c:numCache>
                <c:formatCode>0</c:formatCode>
                <c:ptCount val="6"/>
                <c:pt idx="0">
                  <c:v>364</c:v>
                </c:pt>
                <c:pt idx="1">
                  <c:v>364</c:v>
                </c:pt>
                <c:pt idx="2">
                  <c:v>352</c:v>
                </c:pt>
                <c:pt idx="3">
                  <c:v>462</c:v>
                </c:pt>
                <c:pt idx="4">
                  <c:v>462</c:v>
                </c:pt>
                <c:pt idx="5">
                  <c:v>462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4BE-4CCA-AD73-8138E9FC307C}"/>
            </c:ext>
          </c:extLst>
        </c:ser>
        <c:ser>
          <c:idx val="5"/>
          <c:order val="5"/>
          <c:tx>
            <c:strRef>
              <c:f>Wheat!$H$31</c:f>
              <c:strCache>
                <c:ptCount val="1"/>
                <c:pt idx="0">
                  <c:v>Irrigation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Wheat!$H$32:$H$37</c:f>
              <c:numCache>
                <c:formatCode>0</c:formatCode>
                <c:ptCount val="6"/>
                <c:pt idx="0">
                  <c:v>3927.9451599999998</c:v>
                </c:pt>
                <c:pt idx="1">
                  <c:v>3927.9451599999998</c:v>
                </c:pt>
                <c:pt idx="2">
                  <c:v>3830.75504</c:v>
                </c:pt>
                <c:pt idx="3">
                  <c:v>3235.8424</c:v>
                </c:pt>
                <c:pt idx="4">
                  <c:v>3235.8424</c:v>
                </c:pt>
                <c:pt idx="5">
                  <c:v>3235.8424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4BE-4CCA-AD73-8138E9FC307C}"/>
            </c:ext>
          </c:extLst>
        </c:ser>
        <c:ser>
          <c:idx val="6"/>
          <c:order val="6"/>
          <c:tx>
            <c:strRef>
              <c:f>Wheat!$I$31</c:f>
              <c:strCache>
                <c:ptCount val="1"/>
                <c:pt idx="0">
                  <c:v>Weeding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Wheat!$I$32:$I$37</c:f>
              <c:numCache>
                <c:formatCode>General</c:formatCode>
                <c:ptCount val="6"/>
                <c:pt idx="0">
                  <c:v>15.68</c:v>
                </c:pt>
                <c:pt idx="1">
                  <c:v>15.68</c:v>
                </c:pt>
                <c:pt idx="2">
                  <c:v>15.68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4BE-4CCA-AD73-8138E9FC307C}"/>
            </c:ext>
          </c:extLst>
        </c:ser>
        <c:ser>
          <c:idx val="7"/>
          <c:order val="7"/>
          <c:tx>
            <c:strRef>
              <c:f>Wheat!$J$31</c:f>
              <c:strCache>
                <c:ptCount val="1"/>
                <c:pt idx="0">
                  <c:v>Inputs application</c:v>
                </c:pt>
              </c:strCache>
            </c:strRef>
          </c:tx>
          <c:spPr>
            <a:gradFill>
              <a:gsLst>
                <a:gs pos="0">
                  <a:srgbClr val="D6B19C"/>
                </a:gs>
                <a:gs pos="30000">
                  <a:srgbClr val="D49E6C"/>
                </a:gs>
                <a:gs pos="70000">
                  <a:srgbClr val="A65528"/>
                </a:gs>
                <a:gs pos="100000">
                  <a:srgbClr val="66301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Wheat!$J$32:$J$37</c:f>
              <c:numCache>
                <c:formatCode>General</c:formatCode>
                <c:ptCount val="6"/>
                <c:pt idx="0">
                  <c:v>471.71835111111113</c:v>
                </c:pt>
                <c:pt idx="1">
                  <c:v>471.71835111111113</c:v>
                </c:pt>
                <c:pt idx="2">
                  <c:v>453.07944888888892</c:v>
                </c:pt>
                <c:pt idx="3">
                  <c:v>392.85804444444443</c:v>
                </c:pt>
                <c:pt idx="4">
                  <c:v>392.85804444444443</c:v>
                </c:pt>
                <c:pt idx="5">
                  <c:v>392.85804444444443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24BE-4CCA-AD73-8138E9FC307C}"/>
            </c:ext>
          </c:extLst>
        </c:ser>
        <c:ser>
          <c:idx val="8"/>
          <c:order val="8"/>
          <c:tx>
            <c:strRef>
              <c:f>Wheat!$K$31</c:f>
              <c:strCache>
                <c:ptCount val="1"/>
                <c:pt idx="0">
                  <c:v>Harvesting &amp; threshing</c:v>
                </c:pt>
              </c:strCache>
            </c:strRef>
          </c:tx>
          <c:spPr>
            <a:gradFill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Wheat!$K$32:$K$37</c:f>
              <c:numCache>
                <c:formatCode>General</c:formatCode>
                <c:ptCount val="6"/>
                <c:pt idx="0">
                  <c:v>844.65000000000009</c:v>
                </c:pt>
                <c:pt idx="1">
                  <c:v>844.65000000000009</c:v>
                </c:pt>
                <c:pt idx="2">
                  <c:v>844.65000000000009</c:v>
                </c:pt>
                <c:pt idx="3">
                  <c:v>844.65000000000009</c:v>
                </c:pt>
                <c:pt idx="4">
                  <c:v>844.65000000000009</c:v>
                </c:pt>
                <c:pt idx="5">
                  <c:v>844.65000000000009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24BE-4CCA-AD73-8138E9FC307C}"/>
            </c:ext>
          </c:extLst>
        </c:ser>
        <c:ser>
          <c:idx val="9"/>
          <c:order val="9"/>
          <c:tx>
            <c:strRef>
              <c:f>Wheat!$L$31</c:f>
              <c:strCache>
                <c:ptCount val="1"/>
                <c:pt idx="0">
                  <c:v>Transportation</c:v>
                </c:pt>
              </c:strCache>
            </c:strRef>
          </c:tx>
          <c:spPr>
            <a:gradFill>
              <a:gsLst>
                <a:gs pos="0">
                  <a:srgbClr val="000000"/>
                </a:gs>
                <a:gs pos="20000">
                  <a:srgbClr val="000040"/>
                </a:gs>
                <a:gs pos="50000">
                  <a:srgbClr val="400040"/>
                </a:gs>
                <a:gs pos="75000">
                  <a:srgbClr val="8F0040"/>
                </a:gs>
                <a:gs pos="89999">
                  <a:srgbClr val="F27300"/>
                </a:gs>
                <a:gs pos="100000">
                  <a:srgbClr val="FFBF00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Wheat!$B$32:$B$37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Wheat!$L$32:$L$37</c:f>
              <c:numCache>
                <c:formatCode>General</c:formatCode>
                <c:ptCount val="6"/>
                <c:pt idx="0">
                  <c:v>369.22</c:v>
                </c:pt>
                <c:pt idx="1">
                  <c:v>369.22</c:v>
                </c:pt>
                <c:pt idx="2">
                  <c:v>369.22</c:v>
                </c:pt>
                <c:pt idx="3">
                  <c:v>369.22</c:v>
                </c:pt>
                <c:pt idx="4">
                  <c:v>369.22</c:v>
                </c:pt>
                <c:pt idx="5">
                  <c:v>369.22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24BE-4CCA-AD73-8138E9FC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778304"/>
        <c:axId val="199780224"/>
      </c:barChart>
      <c:catAx>
        <c:axId val="1997783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/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780224"/>
        <c:crosses val="autoZero"/>
        <c:auto val="1"/>
        <c:lblAlgn val="ctr"/>
        <c:lblOffset val="100"/>
        <c:noMultiLvlLbl val="0"/>
      </c:catAx>
      <c:valAx>
        <c:axId val="19978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77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143436017866184E-2"/>
          <c:y val="4.6274424030329532E-3"/>
          <c:w val="0.91069411060459549"/>
          <c:h val="0.22637034600439959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23993406877103"/>
          <c:y val="2.7987361452429912E-2"/>
          <c:w val="0.87619386164371316"/>
          <c:h val="0.87928261196649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'RW energy'!$B$24</c:f>
              <c:strCache>
                <c:ptCount val="1"/>
                <c:pt idx="0">
                  <c:v>Field prepration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5D7-44CE-9904-D67EBFF76BF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5D7-44CE-9904-D67EBFF76BF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5D7-44CE-9904-D67EBFF76BF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5D7-44CE-9904-D67EBFF76BF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5D7-44CE-9904-D67EBFF76BF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75D7-44CE-9904-D67EBFF76BF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'RW energy'!$A$25:$A$30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'RW energy'!$B$25:$B$30</c:f>
              <c:numCache>
                <c:formatCode>0</c:formatCode>
                <c:ptCount val="6"/>
                <c:pt idx="0">
                  <c:v>7415.5929629629627</c:v>
                </c:pt>
                <c:pt idx="1">
                  <c:v>7415.5929629629627</c:v>
                </c:pt>
                <c:pt idx="2">
                  <c:v>3709.4021666666667</c:v>
                </c:pt>
                <c:pt idx="3">
                  <c:v>2625.0881666666664</c:v>
                </c:pt>
                <c:pt idx="4">
                  <c:v>1314.6900555555558</c:v>
                </c:pt>
                <c:pt idx="5">
                  <c:v>1314.6900555555558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73B-43E9-89BB-E37FE28D024E}"/>
            </c:ext>
          </c:extLst>
        </c:ser>
        <c:ser>
          <c:idx val="1"/>
          <c:order val="1"/>
          <c:tx>
            <c:strRef>
              <c:f>'RW energy'!$C$24</c:f>
              <c:strCache>
                <c:ptCount val="1"/>
                <c:pt idx="0">
                  <c:v>Agronomic Inputs x10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75D7-44CE-9904-D67EBFF76BF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75D7-44CE-9904-D67EBFF76BF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75D7-44CE-9904-D67EBFF76BF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75D7-44CE-9904-D67EBFF76BF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75D7-44CE-9904-D67EBFF76BF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75D7-44CE-9904-D67EBFF76BF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'RW energy'!$A$25:$A$30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'RW energy'!$C$25:$C$30</c:f>
              <c:numCache>
                <c:formatCode>0</c:formatCode>
                <c:ptCount val="6"/>
                <c:pt idx="0">
                  <c:v>5748.5489800000005</c:v>
                </c:pt>
                <c:pt idx="1">
                  <c:v>5748.5489800000005</c:v>
                </c:pt>
                <c:pt idx="2">
                  <c:v>5025.1187399999999</c:v>
                </c:pt>
                <c:pt idx="3">
                  <c:v>4872.1207159999994</c:v>
                </c:pt>
                <c:pt idx="4">
                  <c:v>4675.6095488888877</c:v>
                </c:pt>
                <c:pt idx="5">
                  <c:v>4482.1549577777778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73B-43E9-89BB-E37FE28D024E}"/>
            </c:ext>
          </c:extLst>
        </c:ser>
        <c:ser>
          <c:idx val="2"/>
          <c:order val="2"/>
          <c:tx>
            <c:strRef>
              <c:f>'RW energy'!$D$24</c:f>
              <c:strCache>
                <c:ptCount val="1"/>
                <c:pt idx="0">
                  <c:v>Labor </c:v>
                </c:pt>
              </c:strCache>
            </c:strRef>
          </c:tx>
          <c:spPr>
            <a:solidFill>
              <a:srgbClr val="1EF657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75D7-44CE-9904-D67EBFF76BF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75D7-44CE-9904-D67EBFF76BF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75D7-44CE-9904-D67EBFF76BF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75D7-44CE-9904-D67EBFF76BF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75D7-44CE-9904-D67EBFF76BF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75D7-44CE-9904-D67EBFF76BF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'RW energy'!$A$25:$A$30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'RW energy'!$D$25:$D$30</c:f>
              <c:numCache>
                <c:formatCode>0</c:formatCode>
                <c:ptCount val="6"/>
                <c:pt idx="0">
                  <c:v>2928.0622000000003</c:v>
                </c:pt>
                <c:pt idx="1">
                  <c:v>2928.0622000000003</c:v>
                </c:pt>
                <c:pt idx="2">
                  <c:v>2542.2986000000001</c:v>
                </c:pt>
                <c:pt idx="3">
                  <c:v>2351.3896844444444</c:v>
                </c:pt>
                <c:pt idx="4">
                  <c:v>2220.9733999999999</c:v>
                </c:pt>
                <c:pt idx="5">
                  <c:v>2220.9733999999999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73B-43E9-89BB-E37FE28D024E}"/>
            </c:ext>
          </c:extLst>
        </c:ser>
        <c:ser>
          <c:idx val="3"/>
          <c:order val="3"/>
          <c:tx>
            <c:strRef>
              <c:f>'RW energy'!$E$24</c:f>
              <c:strCache>
                <c:ptCount val="1"/>
                <c:pt idx="0">
                  <c:v>Harvesting &amp; threshing</c:v>
                </c:pt>
              </c:strCache>
            </c:strRef>
          </c:tx>
          <c:spPr>
            <a:solidFill>
              <a:srgbClr val="F470C8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5D7-44CE-9904-D67EBFF76BF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5D7-44CE-9904-D67EBFF76BF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5D7-44CE-9904-D67EBFF76BF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5D7-44CE-9904-D67EBFF76BF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75D7-44CE-9904-D67EBFF76BF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5D7-44CE-9904-D67EBFF76BF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'RW energy'!$A$25:$A$30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'RW energy'!$E$25:$E$30</c:f>
              <c:numCache>
                <c:formatCode>0</c:formatCode>
                <c:ptCount val="6"/>
                <c:pt idx="0">
                  <c:v>1970.8500000000001</c:v>
                </c:pt>
                <c:pt idx="1">
                  <c:v>1970.8500000000001</c:v>
                </c:pt>
                <c:pt idx="2">
                  <c:v>1970.8500000000001</c:v>
                </c:pt>
                <c:pt idx="3">
                  <c:v>1970.8500000000001</c:v>
                </c:pt>
                <c:pt idx="4">
                  <c:v>1970.8500000000001</c:v>
                </c:pt>
                <c:pt idx="5">
                  <c:v>1970.8500000000001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73B-43E9-89BB-E37FE28D024E}"/>
            </c:ext>
          </c:extLst>
        </c:ser>
        <c:ser>
          <c:idx val="4"/>
          <c:order val="4"/>
          <c:tx>
            <c:strRef>
              <c:f>'RW energy'!$F$24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5D7-44CE-9904-D67EBFF76BF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5D7-44CE-9904-D67EBFF76BF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5D7-44CE-9904-D67EBFF76BF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5D7-44CE-9904-D67EBFF76BF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5D7-44CE-9904-D67EBFF76BF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5D7-44CE-9904-D67EBFF76BF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'RW energy'!$A$25:$A$30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'RW energy'!$F$25:$F$30</c:f>
              <c:numCache>
                <c:formatCode>0</c:formatCode>
                <c:ptCount val="6"/>
                <c:pt idx="0">
                  <c:v>754.22</c:v>
                </c:pt>
                <c:pt idx="1">
                  <c:v>754.22</c:v>
                </c:pt>
                <c:pt idx="2">
                  <c:v>754.22</c:v>
                </c:pt>
                <c:pt idx="3">
                  <c:v>754.22</c:v>
                </c:pt>
                <c:pt idx="4">
                  <c:v>754.22</c:v>
                </c:pt>
                <c:pt idx="5">
                  <c:v>754.22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73B-43E9-89BB-E37FE28D0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92064"/>
        <c:axId val="199849088"/>
      </c:barChart>
      <c:catAx>
        <c:axId val="2003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849088"/>
        <c:crosses val="autoZero"/>
        <c:auto val="1"/>
        <c:lblAlgn val="ctr"/>
        <c:lblOffset val="100"/>
        <c:noMultiLvlLbl val="0"/>
      </c:catAx>
      <c:valAx>
        <c:axId val="1998490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MJ ha-1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039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460178133471021"/>
          <c:y val="5.7485367804960261E-2"/>
          <c:w val="0.58441560504810797"/>
          <c:h val="0.17246115625921088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8661363867195"/>
          <c:y val="3.1443679603614737E-2"/>
          <c:w val="0.62727349509009944"/>
          <c:h val="0.68901837528266596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7CC-45C7-A1C5-B851EBEF3E73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D7CC-45C7-A1C5-B851EBEF3E73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F44-4CB8-9BF0-C3A68EC43F6E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F44-4CB8-9BF0-C3A68EC43F6E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F44-4CB8-9BF0-C3A68EC43F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600" b="1">
                    <a:solidFill>
                      <a:srgbClr val="FFFF00"/>
                    </a:solidFill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'RW energy'!$B$44:$F$44</c:f>
              <c:strCache>
                <c:ptCount val="5"/>
                <c:pt idx="0">
                  <c:v>Field operations (Tillage, puddling/sowing, transplanting)</c:v>
                </c:pt>
                <c:pt idx="1">
                  <c:v>Agronomic Inputs x10 (Fertilizers, pesticides and irrigations)</c:v>
                </c:pt>
                <c:pt idx="2">
                  <c:v>Labor (interculture/weeding, input applications)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energy'!$B$45:$F$45</c:f>
              <c:numCache>
                <c:formatCode>General</c:formatCode>
                <c:ptCount val="5"/>
                <c:pt idx="0">
                  <c:v>7415.5929629629627</c:v>
                </c:pt>
                <c:pt idx="1">
                  <c:v>5748.5489800000005</c:v>
                </c:pt>
                <c:pt idx="2">
                  <c:v>2928.0622000000003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CC-45C7-A1C5-B851EBEF3E7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5.7924531327677737E-3"/>
          <c:y val="0.72888683873549798"/>
          <c:w val="0.99315596752035329"/>
          <c:h val="0.2711131612645020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2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19377577802774"/>
          <c:y val="1.8916960533307561E-2"/>
          <c:w val="0.65541491524085804"/>
          <c:h val="0.71450970268060754"/>
        </c:manualLayout>
      </c:layout>
      <c:pieChart>
        <c:varyColors val="1"/>
        <c:ser>
          <c:idx val="0"/>
          <c:order val="0"/>
          <c:spPr>
            <a:effectLst/>
          </c:spPr>
          <c:explosion val="6"/>
          <c:dPt>
            <c:idx val="0"/>
            <c:bubble3D val="0"/>
            <c:spPr>
              <a:solidFill>
                <a:srgbClr val="C00000"/>
              </a:solidFill>
              <a:effectLst/>
            </c:spPr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effectLst/>
            </c:spPr>
          </c:dPt>
          <c:dPt>
            <c:idx val="2"/>
            <c:bubble3D val="0"/>
            <c:spPr>
              <a:solidFill>
                <a:srgbClr val="00B0F0"/>
              </a:solidFill>
              <a:effectLst/>
            </c:spPr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effectLst/>
            </c:spPr>
          </c:dPt>
          <c:dPt>
            <c:idx val="4"/>
            <c:bubble3D val="0"/>
            <c:spPr>
              <a:solidFill>
                <a:srgbClr val="00B050"/>
              </a:solidFill>
              <a:effectLst/>
            </c:spPr>
          </c:dPt>
          <c:dLbls>
            <c:txPr>
              <a:bodyPr/>
              <a:lstStyle/>
              <a:p>
                <a:pPr>
                  <a:defRPr sz="1600" b="1">
                    <a:solidFill>
                      <a:srgbClr val="FFFF00"/>
                    </a:solidFill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'RW energy'!$B$33:$F$33</c:f>
              <c:strCache>
                <c:ptCount val="5"/>
                <c:pt idx="0">
                  <c:v>Field operations (Tillage, puddling/sowing, transplanting)</c:v>
                </c:pt>
                <c:pt idx="1">
                  <c:v>Agronomic Inputs x10 (Fertilizers, pesticides and irrigations)</c:v>
                </c:pt>
                <c:pt idx="2">
                  <c:v>Labor (interculture/weeding, input applications)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energy'!$B$34:$F$34</c:f>
              <c:numCache>
                <c:formatCode>0</c:formatCode>
                <c:ptCount val="5"/>
                <c:pt idx="0">
                  <c:v>2305.0777515432096</c:v>
                </c:pt>
                <c:pt idx="1">
                  <c:v>4780.4755524444436</c:v>
                </c:pt>
                <c:pt idx="2">
                  <c:v>2331.3240996296295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scene3d>
          <a:camera prst="orthographicFront"/>
          <a:lightRig rig="threePt" dir="t"/>
        </a:scene3d>
        <a:sp3d>
          <a:bevelB w="152400" h="50800" prst="softRound"/>
        </a:sp3d>
      </c:spPr>
    </c:plotArea>
    <c:legend>
      <c:legendPos val="b"/>
      <c:layout>
        <c:manualLayout>
          <c:xMode val="edge"/>
          <c:yMode val="edge"/>
          <c:x val="1.6450819672131148E-2"/>
          <c:y val="0.75137994350282489"/>
          <c:w val="0.97878984517304191"/>
          <c:h val="0.2486201110107138"/>
        </c:manualLayout>
      </c:layout>
      <c:overlay val="1"/>
      <c:txPr>
        <a:bodyPr/>
        <a:lstStyle/>
        <a:p>
          <a:pPr>
            <a:defRPr sz="12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cene3d>
      <a:camera prst="orthographicFront"/>
      <a:lightRig rig="threePt" dir="t"/>
    </a:scene3d>
    <a:sp3d>
      <a:bevelT w="190500" h="38100"/>
    </a:sp3d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095400728597452E-2"/>
          <c:y val="1.8916960533307561E-2"/>
          <c:w val="0.96481830601092899"/>
          <c:h val="0.98108309792843695"/>
        </c:manualLayout>
      </c:layout>
      <c:pieChart>
        <c:varyColors val="1"/>
        <c:ser>
          <c:idx val="0"/>
          <c:order val="0"/>
          <c:spPr>
            <a:effectLst/>
          </c:spPr>
          <c:explosion val="6"/>
          <c:dPt>
            <c:idx val="0"/>
            <c:bubble3D val="0"/>
            <c:spPr>
              <a:solidFill>
                <a:srgbClr val="C00000"/>
              </a:solidFill>
              <a:effectLst/>
            </c:spPr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effectLst/>
            </c:spPr>
          </c:dPt>
          <c:dPt>
            <c:idx val="2"/>
            <c:bubble3D val="0"/>
            <c:spPr>
              <a:solidFill>
                <a:srgbClr val="00B0F0"/>
              </a:solidFill>
              <a:effectLst/>
            </c:spPr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effectLst/>
            </c:spPr>
          </c:dPt>
          <c:dPt>
            <c:idx val="4"/>
            <c:bubble3D val="0"/>
            <c:spPr>
              <a:solidFill>
                <a:srgbClr val="00B050"/>
              </a:solidFill>
              <a:effectLst/>
            </c:spPr>
          </c:dPt>
          <c:dLbls>
            <c:txPr>
              <a:bodyPr/>
              <a:lstStyle/>
              <a:p>
                <a:pPr>
                  <a:defRPr sz="1600" b="1">
                    <a:solidFill>
                      <a:srgbClr val="FFFF00"/>
                    </a:solidFill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'RW energy'!$B$33:$F$33</c:f>
              <c:strCache>
                <c:ptCount val="5"/>
                <c:pt idx="0">
                  <c:v>Field operations (Tillage, puddling/sowing, transplanting)</c:v>
                </c:pt>
                <c:pt idx="1">
                  <c:v>Agronomic Inputs x10 (Fertilizers, pesticides and irrigations)</c:v>
                </c:pt>
                <c:pt idx="2">
                  <c:v>Labor (interculture/weeding, input applications)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energy'!$B$34:$F$34</c:f>
              <c:numCache>
                <c:formatCode>0</c:formatCode>
                <c:ptCount val="5"/>
                <c:pt idx="0">
                  <c:v>2305.0777515432096</c:v>
                </c:pt>
                <c:pt idx="1">
                  <c:v>4780.4755524444436</c:v>
                </c:pt>
                <c:pt idx="2">
                  <c:v>2331.3240996296295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scene3d>
          <a:camera prst="orthographicFront"/>
          <a:lightRig rig="threePt" dir="t"/>
        </a:scene3d>
        <a:sp3d>
          <a:bevelB w="152400" h="50800" prst="softRound"/>
        </a:sp3d>
      </c:spPr>
    </c:plotArea>
    <c:plotVisOnly val="1"/>
    <c:dispBlanksAs val="gap"/>
    <c:showDLblsOverMax val="0"/>
  </c:chart>
  <c:spPr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391812865497075E-2"/>
          <c:y val="1.0806129916884229E-2"/>
          <c:w val="0.96783625730994149"/>
          <c:h val="0.98732266147071779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7CC-45C7-A1C5-B851EBEF3E73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D7CC-45C7-A1C5-B851EBEF3E73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F44-4CB8-9BF0-C3A68EC43F6E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F44-4CB8-9BF0-C3A68EC43F6E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F44-4CB8-9BF0-C3A68EC43F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600" b="1">
                    <a:solidFill>
                      <a:srgbClr val="FFFF00"/>
                    </a:solidFill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'RW energy'!$B$44:$F$44</c:f>
              <c:strCache>
                <c:ptCount val="5"/>
                <c:pt idx="0">
                  <c:v>Field operations (Tillage, puddling/sowing, transplanting)</c:v>
                </c:pt>
                <c:pt idx="1">
                  <c:v>Agronomic Inputs x10 (Fertilizers, pesticides and irrigations)</c:v>
                </c:pt>
                <c:pt idx="2">
                  <c:v>Labor (interculture/weeding, input applications)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energy'!$B$45:$F$45</c:f>
              <c:numCache>
                <c:formatCode>General</c:formatCode>
                <c:ptCount val="5"/>
                <c:pt idx="0">
                  <c:v>7415.5929629629627</c:v>
                </c:pt>
                <c:pt idx="1">
                  <c:v>5748.5489800000005</c:v>
                </c:pt>
                <c:pt idx="2">
                  <c:v>2928.0622000000003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CC-45C7-A1C5-B851EBEF3E7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34937077732204"/>
          <c:y val="4.1006536232832388E-2"/>
          <c:w val="0.8480726125964293"/>
          <c:h val="0.677553765855313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'RW energy'!$A$25</c:f>
              <c:strCache>
                <c:ptCount val="1"/>
                <c:pt idx="0">
                  <c:v>Sc1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'RW energy'!$L$25:$Q$25</c:f>
                <c:numCache>
                  <c:formatCode>General</c:formatCode>
                  <c:ptCount val="6"/>
                  <c:pt idx="0">
                    <c:v>0.43101851851861284</c:v>
                  </c:pt>
                  <c:pt idx="1">
                    <c:v>543.09249532288527</c:v>
                  </c:pt>
                  <c:pt idx="2">
                    <c:v>60.34361059143157</c:v>
                  </c:pt>
                  <c:pt idx="3">
                    <c:v>0</c:v>
                  </c:pt>
                  <c:pt idx="4">
                    <c:v>0</c:v>
                  </c:pt>
                  <c:pt idx="5">
                    <c:v>603.65447974299627</c:v>
                  </c:pt>
                </c:numCache>
              </c:numRef>
            </c:plus>
            <c:minus>
              <c:numRef>
                <c:f>'RW energy'!$L$25:$Q$25</c:f>
                <c:numCache>
                  <c:formatCode>General</c:formatCode>
                  <c:ptCount val="6"/>
                  <c:pt idx="0">
                    <c:v>0.43101851851861284</c:v>
                  </c:pt>
                  <c:pt idx="1">
                    <c:v>543.09249532288527</c:v>
                  </c:pt>
                  <c:pt idx="2">
                    <c:v>60.34361059143157</c:v>
                  </c:pt>
                  <c:pt idx="3">
                    <c:v>0</c:v>
                  </c:pt>
                  <c:pt idx="4">
                    <c:v>0</c:v>
                  </c:pt>
                  <c:pt idx="5">
                    <c:v>603.65447974299627</c:v>
                  </c:pt>
                </c:numCache>
              </c:numRef>
            </c:minus>
          </c:errBars>
          <c:cat>
            <c:strRef>
              <c:f>'RW energy'!$B$24:$F$24</c:f>
              <c:strCache>
                <c:ptCount val="5"/>
                <c:pt idx="0">
                  <c:v>Field prepration</c:v>
                </c:pt>
                <c:pt idx="1">
                  <c:v>Agronomic Inputs x10</c:v>
                </c:pt>
                <c:pt idx="2">
                  <c:v>Labor 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energy'!$B$25:$F$25</c:f>
              <c:numCache>
                <c:formatCode>0</c:formatCode>
                <c:ptCount val="5"/>
                <c:pt idx="0">
                  <c:v>7415.5929629629627</c:v>
                </c:pt>
                <c:pt idx="1">
                  <c:v>5748.5489800000005</c:v>
                </c:pt>
                <c:pt idx="2">
                  <c:v>2928.0622000000003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</c:ser>
        <c:ser>
          <c:idx val="1"/>
          <c:order val="1"/>
          <c:tx>
            <c:strRef>
              <c:f>'RW energy'!$A$26</c:f>
              <c:strCache>
                <c:ptCount val="1"/>
                <c:pt idx="0">
                  <c:v>Sc2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'RW energy'!$L$26:$Q$26</c:f>
                <c:numCache>
                  <c:formatCode>General</c:formatCode>
                  <c:ptCount val="6"/>
                  <c:pt idx="0">
                    <c:v>0.43101851851861284</c:v>
                  </c:pt>
                  <c:pt idx="1">
                    <c:v>543.09249532288527</c:v>
                  </c:pt>
                  <c:pt idx="2">
                    <c:v>60.34361059143157</c:v>
                  </c:pt>
                  <c:pt idx="3">
                    <c:v>0</c:v>
                  </c:pt>
                  <c:pt idx="4">
                    <c:v>0</c:v>
                  </c:pt>
                  <c:pt idx="5">
                    <c:v>603.65447974299343</c:v>
                  </c:pt>
                </c:numCache>
              </c:numRef>
            </c:plus>
            <c:minus>
              <c:numRef>
                <c:f>'RW energy'!$L$26:$Q$26</c:f>
                <c:numCache>
                  <c:formatCode>General</c:formatCode>
                  <c:ptCount val="6"/>
                  <c:pt idx="0">
                    <c:v>0.43101851851861284</c:v>
                  </c:pt>
                  <c:pt idx="1">
                    <c:v>543.09249532288527</c:v>
                  </c:pt>
                  <c:pt idx="2">
                    <c:v>60.34361059143157</c:v>
                  </c:pt>
                  <c:pt idx="3">
                    <c:v>0</c:v>
                  </c:pt>
                  <c:pt idx="4">
                    <c:v>0</c:v>
                  </c:pt>
                  <c:pt idx="5">
                    <c:v>603.65447974299343</c:v>
                  </c:pt>
                </c:numCache>
              </c:numRef>
            </c:minus>
          </c:errBars>
          <c:cat>
            <c:strRef>
              <c:f>'RW energy'!$B$24:$F$24</c:f>
              <c:strCache>
                <c:ptCount val="5"/>
                <c:pt idx="0">
                  <c:v>Field prepration</c:v>
                </c:pt>
                <c:pt idx="1">
                  <c:v>Agronomic Inputs x10</c:v>
                </c:pt>
                <c:pt idx="2">
                  <c:v>Labor 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energy'!$B$26:$F$26</c:f>
              <c:numCache>
                <c:formatCode>0</c:formatCode>
                <c:ptCount val="5"/>
                <c:pt idx="0">
                  <c:v>7415.5929629629627</c:v>
                </c:pt>
                <c:pt idx="1">
                  <c:v>5748.5489800000005</c:v>
                </c:pt>
                <c:pt idx="2">
                  <c:v>2928.0622000000003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</c:ser>
        <c:ser>
          <c:idx val="2"/>
          <c:order val="2"/>
          <c:tx>
            <c:strRef>
              <c:f>'RW energy'!$A$27</c:f>
              <c:strCache>
                <c:ptCount val="1"/>
                <c:pt idx="0">
                  <c:v>Sc3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'RW energy'!$L$27:$Q$27</c:f>
                <c:numCache>
                  <c:formatCode>General</c:formatCode>
                  <c:ptCount val="6"/>
                  <c:pt idx="0">
                    <c:v>0.16333333333329847</c:v>
                  </c:pt>
                  <c:pt idx="1">
                    <c:v>511.20275701597757</c:v>
                  </c:pt>
                  <c:pt idx="2">
                    <c:v>56.800306335108672</c:v>
                  </c:pt>
                  <c:pt idx="3">
                    <c:v>0</c:v>
                  </c:pt>
                  <c:pt idx="4">
                    <c:v>0</c:v>
                  </c:pt>
                  <c:pt idx="5">
                    <c:v>568.09494494544992</c:v>
                  </c:pt>
                </c:numCache>
              </c:numRef>
            </c:plus>
            <c:minus>
              <c:numRef>
                <c:f>'RW energy'!$L$27:$Q$27</c:f>
                <c:numCache>
                  <c:formatCode>General</c:formatCode>
                  <c:ptCount val="6"/>
                  <c:pt idx="0">
                    <c:v>0.16333333333329847</c:v>
                  </c:pt>
                  <c:pt idx="1">
                    <c:v>511.20275701597757</c:v>
                  </c:pt>
                  <c:pt idx="2">
                    <c:v>56.800306335108672</c:v>
                  </c:pt>
                  <c:pt idx="3">
                    <c:v>0</c:v>
                  </c:pt>
                  <c:pt idx="4">
                    <c:v>0</c:v>
                  </c:pt>
                  <c:pt idx="5">
                    <c:v>568.09494494544992</c:v>
                  </c:pt>
                </c:numCache>
              </c:numRef>
            </c:minus>
          </c:errBars>
          <c:cat>
            <c:strRef>
              <c:f>'RW energy'!$B$24:$F$24</c:f>
              <c:strCache>
                <c:ptCount val="5"/>
                <c:pt idx="0">
                  <c:v>Field prepration</c:v>
                </c:pt>
                <c:pt idx="1">
                  <c:v>Agronomic Inputs x10</c:v>
                </c:pt>
                <c:pt idx="2">
                  <c:v>Labor 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energy'!$B$27:$F$27</c:f>
              <c:numCache>
                <c:formatCode>0</c:formatCode>
                <c:ptCount val="5"/>
                <c:pt idx="0">
                  <c:v>3709.4021666666667</c:v>
                </c:pt>
                <c:pt idx="1">
                  <c:v>5025.1187399999999</c:v>
                </c:pt>
                <c:pt idx="2">
                  <c:v>2542.2986000000001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</c:ser>
        <c:ser>
          <c:idx val="3"/>
          <c:order val="3"/>
          <c:tx>
            <c:strRef>
              <c:f>'RW energy'!$A$28</c:f>
              <c:strCache>
                <c:ptCount val="1"/>
                <c:pt idx="0">
                  <c:v>Sc4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'RW energy'!$L$28:$Q$28</c:f>
                <c:numCache>
                  <c:formatCode>General</c:formatCode>
                  <c:ptCount val="6"/>
                  <c:pt idx="0">
                    <c:v>0.16333333333329847</c:v>
                  </c:pt>
                  <c:pt idx="1">
                    <c:v>547.07504702118115</c:v>
                  </c:pt>
                  <c:pt idx="2">
                    <c:v>60.786116335686685</c:v>
                  </c:pt>
                  <c:pt idx="3">
                    <c:v>0</c:v>
                  </c:pt>
                  <c:pt idx="4">
                    <c:v>0</c:v>
                  </c:pt>
                  <c:pt idx="5">
                    <c:v>607.9254365400235</c:v>
                  </c:pt>
                </c:numCache>
              </c:numRef>
            </c:plus>
            <c:minus>
              <c:numRef>
                <c:f>'RW energy'!$L$28:$Q$28</c:f>
                <c:numCache>
                  <c:formatCode>General</c:formatCode>
                  <c:ptCount val="6"/>
                  <c:pt idx="0">
                    <c:v>0.16333333333329847</c:v>
                  </c:pt>
                  <c:pt idx="1">
                    <c:v>547.07504702118115</c:v>
                  </c:pt>
                  <c:pt idx="2">
                    <c:v>60.786116335686685</c:v>
                  </c:pt>
                  <c:pt idx="3">
                    <c:v>0</c:v>
                  </c:pt>
                  <c:pt idx="4">
                    <c:v>0</c:v>
                  </c:pt>
                  <c:pt idx="5">
                    <c:v>607.9254365400235</c:v>
                  </c:pt>
                </c:numCache>
              </c:numRef>
            </c:minus>
          </c:errBars>
          <c:cat>
            <c:strRef>
              <c:f>'RW energy'!$B$24:$F$24</c:f>
              <c:strCache>
                <c:ptCount val="5"/>
                <c:pt idx="0">
                  <c:v>Field prepration</c:v>
                </c:pt>
                <c:pt idx="1">
                  <c:v>Agronomic Inputs x10</c:v>
                </c:pt>
                <c:pt idx="2">
                  <c:v>Labor 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energy'!$B$28:$F$28</c:f>
              <c:numCache>
                <c:formatCode>0</c:formatCode>
                <c:ptCount val="5"/>
                <c:pt idx="0">
                  <c:v>2625.0881666666664</c:v>
                </c:pt>
                <c:pt idx="1">
                  <c:v>4872.1207159999994</c:v>
                </c:pt>
                <c:pt idx="2">
                  <c:v>2351.3896844444444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</c:ser>
        <c:ser>
          <c:idx val="4"/>
          <c:order val="4"/>
          <c:tx>
            <c:strRef>
              <c:f>'RW energy'!$A$29</c:f>
              <c:strCache>
                <c:ptCount val="1"/>
                <c:pt idx="0">
                  <c:v>Sc5</c:v>
                </c:pt>
              </c:strCache>
            </c:strRef>
          </c:tx>
          <c:spPr>
            <a:solidFill>
              <a:srgbClr val="FFFF99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'RW energy'!$L$29:$Q$29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694.20861842315435</c:v>
                  </c:pt>
                  <c:pt idx="2">
                    <c:v>66.172031393796743</c:v>
                  </c:pt>
                  <c:pt idx="3">
                    <c:v>0</c:v>
                  </c:pt>
                  <c:pt idx="4">
                    <c:v>0</c:v>
                  </c:pt>
                  <c:pt idx="5">
                    <c:v>760.13465187525867</c:v>
                  </c:pt>
                </c:numCache>
              </c:numRef>
            </c:plus>
            <c:minus>
              <c:numRef>
                <c:f>'RW energy'!$L$29:$Q$29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694.20861842315435</c:v>
                  </c:pt>
                  <c:pt idx="2">
                    <c:v>66.172031393796743</c:v>
                  </c:pt>
                  <c:pt idx="3">
                    <c:v>0</c:v>
                  </c:pt>
                  <c:pt idx="4">
                    <c:v>0</c:v>
                  </c:pt>
                  <c:pt idx="5">
                    <c:v>760.13465187525867</c:v>
                  </c:pt>
                </c:numCache>
              </c:numRef>
            </c:minus>
          </c:errBars>
          <c:cat>
            <c:strRef>
              <c:f>'RW energy'!$B$24:$F$24</c:f>
              <c:strCache>
                <c:ptCount val="5"/>
                <c:pt idx="0">
                  <c:v>Field prepration</c:v>
                </c:pt>
                <c:pt idx="1">
                  <c:v>Agronomic Inputs x10</c:v>
                </c:pt>
                <c:pt idx="2">
                  <c:v>Labor 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energy'!$B$29:$F$29</c:f>
              <c:numCache>
                <c:formatCode>0</c:formatCode>
                <c:ptCount val="5"/>
                <c:pt idx="0">
                  <c:v>1314.6900555555558</c:v>
                </c:pt>
                <c:pt idx="1">
                  <c:v>4675.6095488888877</c:v>
                </c:pt>
                <c:pt idx="2">
                  <c:v>2220.9733999999999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</c:ser>
        <c:ser>
          <c:idx val="5"/>
          <c:order val="5"/>
          <c:tx>
            <c:strRef>
              <c:f>'RW energy'!$A$30</c:f>
              <c:strCache>
                <c:ptCount val="1"/>
                <c:pt idx="0">
                  <c:v>Sc6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'RW energy'!$L$30:$Q$30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705.1751145309679</c:v>
                  </c:pt>
                  <c:pt idx="2">
                    <c:v>66.172031393796743</c:v>
                  </c:pt>
                  <c:pt idx="3">
                    <c:v>0</c:v>
                  </c:pt>
                  <c:pt idx="4">
                    <c:v>0</c:v>
                  </c:pt>
                  <c:pt idx="5">
                    <c:v>770.93869871180834</c:v>
                  </c:pt>
                </c:numCache>
              </c:numRef>
            </c:plus>
            <c:minus>
              <c:numRef>
                <c:f>'RW energy'!$L$30:$Q$30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705.1751145309679</c:v>
                  </c:pt>
                  <c:pt idx="2">
                    <c:v>66.172031393796743</c:v>
                  </c:pt>
                  <c:pt idx="3">
                    <c:v>0</c:v>
                  </c:pt>
                  <c:pt idx="4">
                    <c:v>0</c:v>
                  </c:pt>
                  <c:pt idx="5">
                    <c:v>770.93869871180834</c:v>
                  </c:pt>
                </c:numCache>
              </c:numRef>
            </c:minus>
          </c:errBars>
          <c:cat>
            <c:strRef>
              <c:f>'RW energy'!$B$24:$F$24</c:f>
              <c:strCache>
                <c:ptCount val="5"/>
                <c:pt idx="0">
                  <c:v>Field prepration</c:v>
                </c:pt>
                <c:pt idx="1">
                  <c:v>Agronomic Inputs x10</c:v>
                </c:pt>
                <c:pt idx="2">
                  <c:v>Labor </c:v>
                </c:pt>
                <c:pt idx="3">
                  <c:v>Harvesting &amp; threshing</c:v>
                </c:pt>
                <c:pt idx="4">
                  <c:v>Transportation</c:v>
                </c:pt>
              </c:strCache>
            </c:strRef>
          </c:cat>
          <c:val>
            <c:numRef>
              <c:f>'RW energy'!$B$30:$F$30</c:f>
              <c:numCache>
                <c:formatCode>0</c:formatCode>
                <c:ptCount val="5"/>
                <c:pt idx="0">
                  <c:v>1314.6900555555558</c:v>
                </c:pt>
                <c:pt idx="1">
                  <c:v>4482.1549577777778</c:v>
                </c:pt>
                <c:pt idx="2">
                  <c:v>2220.9733999999999</c:v>
                </c:pt>
                <c:pt idx="3">
                  <c:v>1970.8500000000001</c:v>
                </c:pt>
                <c:pt idx="4">
                  <c:v>754.22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914048"/>
        <c:axId val="200915584"/>
      </c:barChart>
      <c:catAx>
        <c:axId val="200914048"/>
        <c:scaling>
          <c:orientation val="minMax"/>
        </c:scaling>
        <c:delete val="0"/>
        <c:axPos val="b"/>
        <c:majorTickMark val="out"/>
        <c:minorTickMark val="none"/>
        <c:tickLblPos val="nextTo"/>
        <c:crossAx val="200915584"/>
        <c:crosses val="autoZero"/>
        <c:auto val="1"/>
        <c:lblAlgn val="ctr"/>
        <c:lblOffset val="100"/>
        <c:noMultiLvlLbl val="0"/>
      </c:catAx>
      <c:valAx>
        <c:axId val="20091558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20091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7026735726475254"/>
          <c:y val="1.567537898066924E-2"/>
          <c:w val="0.56496711675299138"/>
          <c:h val="0.1274145163987465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0.15325240594925635"/>
          <c:w val="0.79660520559930004"/>
          <c:h val="0.75202391367745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Economics!$C$38</c:f>
              <c:strCache>
                <c:ptCount val="1"/>
                <c:pt idx="0">
                  <c:v>Net return_rice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Economics!$F$23:$F$28</c:f>
                <c:numCache>
                  <c:formatCode>General</c:formatCode>
                  <c:ptCount val="6"/>
                  <c:pt idx="0">
                    <c:v>28.738055407883323</c:v>
                  </c:pt>
                  <c:pt idx="1">
                    <c:v>25.018622187897268</c:v>
                  </c:pt>
                  <c:pt idx="2">
                    <c:v>33.847222292311123</c:v>
                  </c:pt>
                  <c:pt idx="3">
                    <c:v>47.558630047145186</c:v>
                  </c:pt>
                  <c:pt idx="4">
                    <c:v>44.328616920090482</c:v>
                  </c:pt>
                  <c:pt idx="5">
                    <c:v>46.875298235203381</c:v>
                  </c:pt>
                </c:numCache>
              </c:numRef>
            </c:plus>
            <c:minus>
              <c:numRef>
                <c:f>Economics!$F$23:$F$28</c:f>
                <c:numCache>
                  <c:formatCode>General</c:formatCode>
                  <c:ptCount val="6"/>
                  <c:pt idx="0">
                    <c:v>28.738055407883323</c:v>
                  </c:pt>
                  <c:pt idx="1">
                    <c:v>25.018622187897268</c:v>
                  </c:pt>
                  <c:pt idx="2">
                    <c:v>33.847222292311123</c:v>
                  </c:pt>
                  <c:pt idx="3">
                    <c:v>47.558630047145186</c:v>
                  </c:pt>
                  <c:pt idx="4">
                    <c:v>44.328616920090482</c:v>
                  </c:pt>
                  <c:pt idx="5">
                    <c:v>46.875298235203381</c:v>
                  </c:pt>
                </c:numCache>
              </c:numRef>
            </c:minus>
          </c:errBars>
          <c:cat>
            <c:strRef>
              <c:f>Economics!$B$39:$B$44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Economics!$C$39:$C$44</c:f>
              <c:numCache>
                <c:formatCode>0</c:formatCode>
                <c:ptCount val="6"/>
                <c:pt idx="0">
                  <c:v>824.12562223524094</c:v>
                </c:pt>
                <c:pt idx="1">
                  <c:v>849.82153115971471</c:v>
                </c:pt>
                <c:pt idx="2">
                  <c:v>883.17160162877383</c:v>
                </c:pt>
                <c:pt idx="3">
                  <c:v>895.17780093310591</c:v>
                </c:pt>
                <c:pt idx="4">
                  <c:v>946.47386059832445</c:v>
                </c:pt>
                <c:pt idx="5">
                  <c:v>996.20986323099021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08-49BD-80F2-FDF3ECBC4A80}"/>
            </c:ext>
          </c:extLst>
        </c:ser>
        <c:ser>
          <c:idx val="1"/>
          <c:order val="1"/>
          <c:tx>
            <c:strRef>
              <c:f>Economics!$D$38</c:f>
              <c:strCache>
                <c:ptCount val="1"/>
                <c:pt idx="0">
                  <c:v>Net return_wheat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Economics!$G$23:$G$28</c:f>
                <c:numCache>
                  <c:formatCode>General</c:formatCode>
                  <c:ptCount val="6"/>
                  <c:pt idx="0">
                    <c:v>44.582082291676286</c:v>
                  </c:pt>
                  <c:pt idx="1">
                    <c:v>21.57403054441232</c:v>
                  </c:pt>
                  <c:pt idx="2">
                    <c:v>11.217184619290496</c:v>
                  </c:pt>
                  <c:pt idx="3">
                    <c:v>17.098147018692217</c:v>
                  </c:pt>
                  <c:pt idx="4">
                    <c:v>26.660070228982388</c:v>
                  </c:pt>
                  <c:pt idx="5">
                    <c:v>22.883705398570736</c:v>
                  </c:pt>
                </c:numCache>
              </c:numRef>
            </c:plus>
            <c:minus>
              <c:numRef>
                <c:f>Economics!$G$23:$G$28</c:f>
                <c:numCache>
                  <c:formatCode>General</c:formatCode>
                  <c:ptCount val="6"/>
                  <c:pt idx="0">
                    <c:v>44.582082291676286</c:v>
                  </c:pt>
                  <c:pt idx="1">
                    <c:v>21.57403054441232</c:v>
                  </c:pt>
                  <c:pt idx="2">
                    <c:v>11.217184619290496</c:v>
                  </c:pt>
                  <c:pt idx="3">
                    <c:v>17.098147018692217</c:v>
                  </c:pt>
                  <c:pt idx="4">
                    <c:v>26.660070228982388</c:v>
                  </c:pt>
                  <c:pt idx="5">
                    <c:v>22.883705398570736</c:v>
                  </c:pt>
                </c:numCache>
              </c:numRef>
            </c:minus>
          </c:errBars>
          <c:cat>
            <c:strRef>
              <c:f>Economics!$B$39:$B$44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Economics!$D$39:$D$44</c:f>
              <c:numCache>
                <c:formatCode>0</c:formatCode>
                <c:ptCount val="6"/>
                <c:pt idx="0">
                  <c:v>1008.7516051305593</c:v>
                </c:pt>
                <c:pt idx="1">
                  <c:v>1033.032788891865</c:v>
                </c:pt>
                <c:pt idx="2">
                  <c:v>1086.2930031901308</c:v>
                </c:pt>
                <c:pt idx="3">
                  <c:v>1192.0515124011026</c:v>
                </c:pt>
                <c:pt idx="4">
                  <c:v>1229.3959613649643</c:v>
                </c:pt>
                <c:pt idx="5">
                  <c:v>1255.0827586078165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E08-49BD-80F2-FDF3ECBC4A80}"/>
            </c:ext>
          </c:extLst>
        </c:ser>
        <c:ser>
          <c:idx val="2"/>
          <c:order val="2"/>
          <c:tx>
            <c:strRef>
              <c:f>Economics!$E$38</c:f>
              <c:strCache>
                <c:ptCount val="1"/>
                <c:pt idx="0">
                  <c:v>Net return_system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Economics!$H$23:$H$28</c:f>
                <c:numCache>
                  <c:formatCode>General</c:formatCode>
                  <c:ptCount val="6"/>
                  <c:pt idx="0">
                    <c:v>68.294508086842995</c:v>
                  </c:pt>
                  <c:pt idx="1">
                    <c:v>31.252641985409475</c:v>
                  </c:pt>
                  <c:pt idx="2">
                    <c:v>44.921139618428953</c:v>
                  </c:pt>
                  <c:pt idx="3">
                    <c:v>55.614549595303089</c:v>
                  </c:pt>
                  <c:pt idx="4">
                    <c:v>65.947829694709043</c:v>
                  </c:pt>
                  <c:pt idx="5">
                    <c:v>67.1039360017338</c:v>
                  </c:pt>
                </c:numCache>
              </c:numRef>
            </c:plus>
            <c:minus>
              <c:numRef>
                <c:f>Economics!$H$23:$H$28</c:f>
                <c:numCache>
                  <c:formatCode>General</c:formatCode>
                  <c:ptCount val="6"/>
                  <c:pt idx="0">
                    <c:v>68.294508086842995</c:v>
                  </c:pt>
                  <c:pt idx="1">
                    <c:v>31.252641985409475</c:v>
                  </c:pt>
                  <c:pt idx="2">
                    <c:v>44.921139618428953</c:v>
                  </c:pt>
                  <c:pt idx="3">
                    <c:v>55.614549595303089</c:v>
                  </c:pt>
                  <c:pt idx="4">
                    <c:v>65.947829694709043</c:v>
                  </c:pt>
                  <c:pt idx="5">
                    <c:v>67.1039360017338</c:v>
                  </c:pt>
                </c:numCache>
              </c:numRef>
            </c:minus>
          </c:errBars>
          <c:cat>
            <c:strRef>
              <c:f>Economics!$B$39:$B$44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Economics!$E$39:$E$44</c:f>
              <c:numCache>
                <c:formatCode>0</c:formatCode>
                <c:ptCount val="6"/>
                <c:pt idx="0">
                  <c:v>1832.8772273657999</c:v>
                </c:pt>
                <c:pt idx="1">
                  <c:v>1882.8543200515796</c:v>
                </c:pt>
                <c:pt idx="2">
                  <c:v>1969.4646048189049</c:v>
                </c:pt>
                <c:pt idx="3">
                  <c:v>2087.2293133342087</c:v>
                </c:pt>
                <c:pt idx="4">
                  <c:v>2175.8698219632884</c:v>
                </c:pt>
                <c:pt idx="5">
                  <c:v>2251.292621838807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E08-49BD-80F2-FDF3ECBC4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053504"/>
        <c:axId val="200055040"/>
      </c:barChart>
      <c:lineChart>
        <c:grouping val="standard"/>
        <c:varyColors val="0"/>
        <c:ser>
          <c:idx val="3"/>
          <c:order val="3"/>
          <c:tx>
            <c:strRef>
              <c:f>Economics!$F$38</c:f>
              <c:strCache>
                <c:ptCount val="1"/>
                <c:pt idx="0">
                  <c:v>Eco-efficiency_rice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Economics!$U$23:$U$28</c:f>
                <c:numCache>
                  <c:formatCode>General</c:formatCode>
                  <c:ptCount val="6"/>
                  <c:pt idx="0">
                    <c:v>7.3880633951631663E-3</c:v>
                  </c:pt>
                  <c:pt idx="1">
                    <c:v>7.1170258349959282E-3</c:v>
                  </c:pt>
                  <c:pt idx="2">
                    <c:v>1.2041862261902363E-2</c:v>
                  </c:pt>
                  <c:pt idx="3">
                    <c:v>1.4797028476583299E-2</c:v>
                  </c:pt>
                  <c:pt idx="4">
                    <c:v>1.505484712453467E-2</c:v>
                  </c:pt>
                  <c:pt idx="5">
                    <c:v>1.6399526276584583E-2</c:v>
                  </c:pt>
                </c:numCache>
              </c:numRef>
            </c:plus>
            <c:minus>
              <c:numRef>
                <c:f>Economics!$U$23:$U$28</c:f>
                <c:numCache>
                  <c:formatCode>General</c:formatCode>
                  <c:ptCount val="6"/>
                  <c:pt idx="0">
                    <c:v>7.3880633951631663E-3</c:v>
                  </c:pt>
                  <c:pt idx="1">
                    <c:v>7.1170258349959282E-3</c:v>
                  </c:pt>
                  <c:pt idx="2">
                    <c:v>1.2041862261902363E-2</c:v>
                  </c:pt>
                  <c:pt idx="3">
                    <c:v>1.4797028476583299E-2</c:v>
                  </c:pt>
                  <c:pt idx="4">
                    <c:v>1.505484712453467E-2</c:v>
                  </c:pt>
                  <c:pt idx="5">
                    <c:v>1.6399526276584583E-2</c:v>
                  </c:pt>
                </c:numCache>
              </c:numRef>
            </c:minus>
          </c:errBars>
          <c:cat>
            <c:strRef>
              <c:f>Economics!$B$39:$B$44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Economics!$F$39:$F$44</c:f>
              <c:numCache>
                <c:formatCode>0.00</c:formatCode>
                <c:ptCount val="6"/>
                <c:pt idx="0">
                  <c:v>0.1555623565487437</c:v>
                </c:pt>
                <c:pt idx="1">
                  <c:v>0.15251325610051764</c:v>
                </c:pt>
                <c:pt idx="2">
                  <c:v>0.21027178765911303</c:v>
                </c:pt>
                <c:pt idx="3">
                  <c:v>0.21710794600158034</c:v>
                </c:pt>
                <c:pt idx="4">
                  <c:v>0.23684859100759589</c:v>
                </c:pt>
                <c:pt idx="5">
                  <c:v>0.25551159418710373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E08-49BD-80F2-FDF3ECBC4A80}"/>
            </c:ext>
          </c:extLst>
        </c:ser>
        <c:ser>
          <c:idx val="4"/>
          <c:order val="4"/>
          <c:tx>
            <c:strRef>
              <c:f>Economics!$G$38</c:f>
              <c:strCache>
                <c:ptCount val="1"/>
                <c:pt idx="0">
                  <c:v>Eco-efficiency_wheat</c:v>
                </c:pt>
              </c:strCache>
            </c:strRef>
          </c:tx>
          <c:spPr>
            <a:ln w="19050"/>
          </c:spPr>
          <c:marker>
            <c:symbol val="circle"/>
            <c:size val="2"/>
          </c:marker>
          <c:errBars>
            <c:errDir val="y"/>
            <c:errBarType val="both"/>
            <c:errValType val="cust"/>
            <c:noEndCap val="0"/>
            <c:plus>
              <c:numRef>
                <c:f>Economics!$V$23:$V$28</c:f>
                <c:numCache>
                  <c:formatCode>General</c:formatCode>
                  <c:ptCount val="6"/>
                  <c:pt idx="0">
                    <c:v>3.3319956194175451E-2</c:v>
                  </c:pt>
                  <c:pt idx="1">
                    <c:v>3.2488210448174168E-2</c:v>
                  </c:pt>
                  <c:pt idx="2">
                    <c:v>2.6005568650117793E-2</c:v>
                  </c:pt>
                  <c:pt idx="3">
                    <c:v>2.9740129023249982E-2</c:v>
                  </c:pt>
                  <c:pt idx="4">
                    <c:v>7.8096451075234274E-2</c:v>
                  </c:pt>
                  <c:pt idx="5">
                    <c:v>0.117861029532825</c:v>
                  </c:pt>
                </c:numCache>
              </c:numRef>
            </c:plus>
            <c:minus>
              <c:numRef>
                <c:f>Economics!$V$23:$V$28</c:f>
                <c:numCache>
                  <c:formatCode>General</c:formatCode>
                  <c:ptCount val="6"/>
                  <c:pt idx="0">
                    <c:v>3.3319956194175451E-2</c:v>
                  </c:pt>
                  <c:pt idx="1">
                    <c:v>3.2488210448174168E-2</c:v>
                  </c:pt>
                  <c:pt idx="2">
                    <c:v>2.6005568650117793E-2</c:v>
                  </c:pt>
                  <c:pt idx="3">
                    <c:v>2.9740129023249982E-2</c:v>
                  </c:pt>
                  <c:pt idx="4">
                    <c:v>7.8096451075234274E-2</c:v>
                  </c:pt>
                  <c:pt idx="5">
                    <c:v>0.117861029532825</c:v>
                  </c:pt>
                </c:numCache>
              </c:numRef>
            </c:minus>
          </c:errBars>
          <c:cat>
            <c:strRef>
              <c:f>Economics!$B$39:$B$44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Economics!$G$39:$G$44</c:f>
              <c:numCache>
                <c:formatCode>0.00</c:formatCode>
                <c:ptCount val="6"/>
                <c:pt idx="0">
                  <c:v>0.43212753996209924</c:v>
                </c:pt>
                <c:pt idx="1">
                  <c:v>0.58419511855102113</c:v>
                </c:pt>
                <c:pt idx="2">
                  <c:v>0.76621354906066041</c:v>
                </c:pt>
                <c:pt idx="3">
                  <c:v>1.2087015209477399</c:v>
                </c:pt>
                <c:pt idx="4">
                  <c:v>1.5249602152824364</c:v>
                </c:pt>
                <c:pt idx="5">
                  <c:v>1.8360050851624978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E08-49BD-80F2-FDF3ECBC4A80}"/>
            </c:ext>
          </c:extLst>
        </c:ser>
        <c:ser>
          <c:idx val="5"/>
          <c:order val="5"/>
          <c:tx>
            <c:strRef>
              <c:f>Economics!$H$38</c:f>
              <c:strCache>
                <c:ptCount val="1"/>
                <c:pt idx="0">
                  <c:v>Eco-efficiency_system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circle"/>
            <c:size val="2"/>
            <c:spPr>
              <a:ln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Economics!$W$23:$W$28</c:f>
                <c:numCache>
                  <c:formatCode>General</c:formatCode>
                  <c:ptCount val="6"/>
                  <c:pt idx="0">
                    <c:v>1.2982326817341209E-2</c:v>
                  </c:pt>
                  <c:pt idx="1">
                    <c:v>9.7093449554389137E-3</c:v>
                  </c:pt>
                  <c:pt idx="2">
                    <c:v>1.5008048267304393E-2</c:v>
                  </c:pt>
                  <c:pt idx="3">
                    <c:v>1.6501044769558111E-2</c:v>
                  </c:pt>
                  <c:pt idx="4">
                    <c:v>2.1364683277615277E-2</c:v>
                  </c:pt>
                  <c:pt idx="5">
                    <c:v>2.4675913219560655E-2</c:v>
                  </c:pt>
                </c:numCache>
              </c:numRef>
            </c:plus>
            <c:minus>
              <c:numRef>
                <c:f>Economics!$W$23:$W$28</c:f>
                <c:numCache>
                  <c:formatCode>General</c:formatCode>
                  <c:ptCount val="6"/>
                  <c:pt idx="0">
                    <c:v>1.2982326817341209E-2</c:v>
                  </c:pt>
                  <c:pt idx="1">
                    <c:v>9.7093449554389137E-3</c:v>
                  </c:pt>
                  <c:pt idx="2">
                    <c:v>1.5008048267304393E-2</c:v>
                  </c:pt>
                  <c:pt idx="3">
                    <c:v>1.6501044769558111E-2</c:v>
                  </c:pt>
                  <c:pt idx="4">
                    <c:v>2.1364683277615277E-2</c:v>
                  </c:pt>
                  <c:pt idx="5">
                    <c:v>2.4675913219560655E-2</c:v>
                  </c:pt>
                </c:numCache>
              </c:numRef>
            </c:minus>
          </c:errBars>
          <c:cat>
            <c:strRef>
              <c:f>Economics!$B$39:$B$44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Economics!$H$39:$H$44</c:f>
              <c:numCache>
                <c:formatCode>0.00</c:formatCode>
                <c:ptCount val="6"/>
                <c:pt idx="0">
                  <c:v>0.23999740474168674</c:v>
                </c:pt>
                <c:pt idx="1">
                  <c:v>0.25630010873262371</c:v>
                </c:pt>
                <c:pt idx="2">
                  <c:v>0.3504644114858177</c:v>
                </c:pt>
                <c:pt idx="3">
                  <c:v>0.40827885367517269</c:v>
                </c:pt>
                <c:pt idx="4">
                  <c:v>0.45280589536239851</c:v>
                </c:pt>
                <c:pt idx="5">
                  <c:v>0.49097725682949855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E08-49BD-80F2-FDF3ECBC4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70656"/>
        <c:axId val="200069120"/>
      </c:lineChart>
      <c:catAx>
        <c:axId val="200053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055040"/>
        <c:crosses val="autoZero"/>
        <c:auto val="1"/>
        <c:lblAlgn val="ctr"/>
        <c:lblOffset val="100"/>
        <c:noMultiLvlLbl val="0"/>
      </c:catAx>
      <c:valAx>
        <c:axId val="20005504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200053504"/>
        <c:crosses val="autoZero"/>
        <c:crossBetween val="between"/>
      </c:valAx>
      <c:valAx>
        <c:axId val="20006912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200070656"/>
        <c:crosses val="max"/>
        <c:crossBetween val="between"/>
      </c:valAx>
      <c:catAx>
        <c:axId val="20007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06912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9846019247594069E-2"/>
          <c:y val="2.6626202974628182E-2"/>
          <c:w val="0.74904286964129485"/>
          <c:h val="0.1828587051618547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93285214348206"/>
          <c:y val="9.3067220764071146E-2"/>
          <c:w val="0.76767585301837271"/>
          <c:h val="0.79369058034412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Economics!$M$38</c:f>
              <c:strCache>
                <c:ptCount val="1"/>
                <c:pt idx="0">
                  <c:v>Net return_rice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Economics!$F$23:$F$28</c:f>
                <c:numCache>
                  <c:formatCode>General</c:formatCode>
                  <c:ptCount val="6"/>
                  <c:pt idx="0">
                    <c:v>28.738055407883323</c:v>
                  </c:pt>
                  <c:pt idx="1">
                    <c:v>25.018622187897268</c:v>
                  </c:pt>
                  <c:pt idx="2">
                    <c:v>33.847222292311123</c:v>
                  </c:pt>
                  <c:pt idx="3">
                    <c:v>47.558630047145186</c:v>
                  </c:pt>
                  <c:pt idx="4">
                    <c:v>44.328616920090482</c:v>
                  </c:pt>
                  <c:pt idx="5">
                    <c:v>46.875298235203381</c:v>
                  </c:pt>
                </c:numCache>
              </c:numRef>
            </c:plus>
            <c:minus>
              <c:numRef>
                <c:f>Economics!$F$23:$F$28</c:f>
                <c:numCache>
                  <c:formatCode>General</c:formatCode>
                  <c:ptCount val="6"/>
                  <c:pt idx="0">
                    <c:v>28.738055407883323</c:v>
                  </c:pt>
                  <c:pt idx="1">
                    <c:v>25.018622187897268</c:v>
                  </c:pt>
                  <c:pt idx="2">
                    <c:v>33.847222292311123</c:v>
                  </c:pt>
                  <c:pt idx="3">
                    <c:v>47.558630047145186</c:v>
                  </c:pt>
                  <c:pt idx="4">
                    <c:v>44.328616920090482</c:v>
                  </c:pt>
                  <c:pt idx="5">
                    <c:v>46.875298235203381</c:v>
                  </c:pt>
                </c:numCache>
              </c:numRef>
            </c:minus>
          </c:errBars>
          <c:cat>
            <c:strRef>
              <c:f>Economics!$L$39:$L$44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Economics!$M$39:$M$44</c:f>
              <c:numCache>
                <c:formatCode>0</c:formatCode>
                <c:ptCount val="6"/>
                <c:pt idx="0">
                  <c:v>824.12562223524094</c:v>
                </c:pt>
                <c:pt idx="1">
                  <c:v>849.82153115971471</c:v>
                </c:pt>
                <c:pt idx="2">
                  <c:v>883.17160162877383</c:v>
                </c:pt>
                <c:pt idx="3">
                  <c:v>895.17780093310591</c:v>
                </c:pt>
                <c:pt idx="4">
                  <c:v>946.47386059832445</c:v>
                </c:pt>
                <c:pt idx="5">
                  <c:v>996.20986323099021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100-4E19-9B99-17C79C28EFCD}"/>
            </c:ext>
          </c:extLst>
        </c:ser>
        <c:ser>
          <c:idx val="1"/>
          <c:order val="1"/>
          <c:tx>
            <c:strRef>
              <c:f>Economics!$N$38</c:f>
              <c:strCache>
                <c:ptCount val="1"/>
                <c:pt idx="0">
                  <c:v>Net return_wheat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Economics!$G$23:$G$28</c:f>
                <c:numCache>
                  <c:formatCode>General</c:formatCode>
                  <c:ptCount val="6"/>
                  <c:pt idx="0">
                    <c:v>44.582082291676286</c:v>
                  </c:pt>
                  <c:pt idx="1">
                    <c:v>21.57403054441232</c:v>
                  </c:pt>
                  <c:pt idx="2">
                    <c:v>11.217184619290496</c:v>
                  </c:pt>
                  <c:pt idx="3">
                    <c:v>17.098147018692217</c:v>
                  </c:pt>
                  <c:pt idx="4">
                    <c:v>26.660070228982388</c:v>
                  </c:pt>
                  <c:pt idx="5">
                    <c:v>22.883705398570736</c:v>
                  </c:pt>
                </c:numCache>
              </c:numRef>
            </c:plus>
            <c:minus>
              <c:numRef>
                <c:f>Economics!$G$23:$G$28</c:f>
                <c:numCache>
                  <c:formatCode>General</c:formatCode>
                  <c:ptCount val="6"/>
                  <c:pt idx="0">
                    <c:v>44.582082291676286</c:v>
                  </c:pt>
                  <c:pt idx="1">
                    <c:v>21.57403054441232</c:v>
                  </c:pt>
                  <c:pt idx="2">
                    <c:v>11.217184619290496</c:v>
                  </c:pt>
                  <c:pt idx="3">
                    <c:v>17.098147018692217</c:v>
                  </c:pt>
                  <c:pt idx="4">
                    <c:v>26.660070228982388</c:v>
                  </c:pt>
                  <c:pt idx="5">
                    <c:v>22.883705398570736</c:v>
                  </c:pt>
                </c:numCache>
              </c:numRef>
            </c:minus>
          </c:errBars>
          <c:cat>
            <c:strRef>
              <c:f>Economics!$L$39:$L$44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Economics!$N$39:$N$44</c:f>
              <c:numCache>
                <c:formatCode>0</c:formatCode>
                <c:ptCount val="6"/>
                <c:pt idx="0">
                  <c:v>1008.7516051305593</c:v>
                </c:pt>
                <c:pt idx="1">
                  <c:v>1033.032788891865</c:v>
                </c:pt>
                <c:pt idx="2">
                  <c:v>1086.2930031901308</c:v>
                </c:pt>
                <c:pt idx="3">
                  <c:v>1192.0515124011026</c:v>
                </c:pt>
                <c:pt idx="4">
                  <c:v>1229.3959613649643</c:v>
                </c:pt>
                <c:pt idx="5">
                  <c:v>1255.0827586078165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100-4E19-9B99-17C79C28EFCD}"/>
            </c:ext>
          </c:extLst>
        </c:ser>
        <c:ser>
          <c:idx val="2"/>
          <c:order val="2"/>
          <c:tx>
            <c:strRef>
              <c:f>Economics!$O$38</c:f>
              <c:strCache>
                <c:ptCount val="1"/>
                <c:pt idx="0">
                  <c:v>Net return_system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Economics!$H$23:$H$28</c:f>
                <c:numCache>
                  <c:formatCode>General</c:formatCode>
                  <c:ptCount val="6"/>
                  <c:pt idx="0">
                    <c:v>68.294508086842995</c:v>
                  </c:pt>
                  <c:pt idx="1">
                    <c:v>31.252641985409475</c:v>
                  </c:pt>
                  <c:pt idx="2">
                    <c:v>44.921139618428953</c:v>
                  </c:pt>
                  <c:pt idx="3">
                    <c:v>55.614549595303089</c:v>
                  </c:pt>
                  <c:pt idx="4">
                    <c:v>65.947829694709043</c:v>
                  </c:pt>
                  <c:pt idx="5">
                    <c:v>67.1039360017338</c:v>
                  </c:pt>
                </c:numCache>
              </c:numRef>
            </c:plus>
            <c:minus>
              <c:numRef>
                <c:f>Economics!$H$23:$H$28</c:f>
                <c:numCache>
                  <c:formatCode>General</c:formatCode>
                  <c:ptCount val="6"/>
                  <c:pt idx="0">
                    <c:v>68.294508086842995</c:v>
                  </c:pt>
                  <c:pt idx="1">
                    <c:v>31.252641985409475</c:v>
                  </c:pt>
                  <c:pt idx="2">
                    <c:v>44.921139618428953</c:v>
                  </c:pt>
                  <c:pt idx="3">
                    <c:v>55.614549595303089</c:v>
                  </c:pt>
                  <c:pt idx="4">
                    <c:v>65.947829694709043</c:v>
                  </c:pt>
                  <c:pt idx="5">
                    <c:v>67.1039360017338</c:v>
                  </c:pt>
                </c:numCache>
              </c:numRef>
            </c:minus>
          </c:errBars>
          <c:cat>
            <c:strRef>
              <c:f>Economics!$L$39:$L$44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Economics!$O$39:$O$44</c:f>
              <c:numCache>
                <c:formatCode>0</c:formatCode>
                <c:ptCount val="6"/>
                <c:pt idx="0">
                  <c:v>1832.8772273657999</c:v>
                </c:pt>
                <c:pt idx="1">
                  <c:v>1882.8543200515796</c:v>
                </c:pt>
                <c:pt idx="2">
                  <c:v>1969.4646048189049</c:v>
                </c:pt>
                <c:pt idx="3">
                  <c:v>2087.2293133342087</c:v>
                </c:pt>
                <c:pt idx="4">
                  <c:v>2175.8698219632884</c:v>
                </c:pt>
                <c:pt idx="5">
                  <c:v>2251.292621838807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100-4E19-9B99-17C79C28E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82784"/>
        <c:axId val="200192768"/>
      </c:barChart>
      <c:lineChart>
        <c:grouping val="standard"/>
        <c:varyColors val="0"/>
        <c:ser>
          <c:idx val="3"/>
          <c:order val="3"/>
          <c:tx>
            <c:strRef>
              <c:f>Economics!$P$38</c:f>
              <c:strCache>
                <c:ptCount val="1"/>
                <c:pt idx="0">
                  <c:v>Eco-efficiency_rice</c:v>
                </c:pt>
              </c:strCache>
            </c:strRef>
          </c:tx>
          <c:spPr>
            <a:ln w="22225"/>
          </c:spPr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Economics!$R$23:$R$28</c:f>
                <c:numCache>
                  <c:formatCode>General</c:formatCode>
                  <c:ptCount val="6"/>
                  <c:pt idx="0">
                    <c:v>9.4807149470819854E-4</c:v>
                  </c:pt>
                  <c:pt idx="1">
                    <c:v>8.5149199542627896E-4</c:v>
                  </c:pt>
                  <c:pt idx="2">
                    <c:v>1.1881907946805505E-3</c:v>
                  </c:pt>
                  <c:pt idx="3">
                    <c:v>1.9797747373222251E-3</c:v>
                  </c:pt>
                  <c:pt idx="4">
                    <c:v>2.2732314475620331E-3</c:v>
                  </c:pt>
                  <c:pt idx="5">
                    <c:v>2.5641381250803004E-3</c:v>
                  </c:pt>
                </c:numCache>
              </c:numRef>
            </c:plus>
            <c:minus>
              <c:numRef>
                <c:f>Economics!$R$23:$R$28</c:f>
                <c:numCache>
                  <c:formatCode>General</c:formatCode>
                  <c:ptCount val="6"/>
                  <c:pt idx="0">
                    <c:v>9.4807149470819854E-4</c:v>
                  </c:pt>
                  <c:pt idx="1">
                    <c:v>8.5149199542627896E-4</c:v>
                  </c:pt>
                  <c:pt idx="2">
                    <c:v>1.1881907946805505E-3</c:v>
                  </c:pt>
                  <c:pt idx="3">
                    <c:v>1.9797747373222251E-3</c:v>
                  </c:pt>
                  <c:pt idx="4">
                    <c:v>2.2732314475620331E-3</c:v>
                  </c:pt>
                  <c:pt idx="5">
                    <c:v>2.5641381250803004E-3</c:v>
                  </c:pt>
                </c:numCache>
              </c:numRef>
            </c:minus>
          </c:errBars>
          <c:cat>
            <c:strRef>
              <c:f>Economics!$L$39:$L$44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Economics!$P$39:$P$44</c:f>
              <c:numCache>
                <c:formatCode>0.000</c:formatCode>
                <c:ptCount val="6"/>
                <c:pt idx="0">
                  <c:v>1.8076585130406189E-2</c:v>
                </c:pt>
                <c:pt idx="1">
                  <c:v>1.8633928096515606E-2</c:v>
                </c:pt>
                <c:pt idx="2">
                  <c:v>2.3801705863428932E-2</c:v>
                </c:pt>
                <c:pt idx="3">
                  <c:v>2.497507160967118E-2</c:v>
                </c:pt>
                <c:pt idx="4">
                  <c:v>2.8202908219275125E-2</c:v>
                </c:pt>
                <c:pt idx="5">
                  <c:v>3.0746935544010007E-2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100-4E19-9B99-17C79C28EFCD}"/>
            </c:ext>
          </c:extLst>
        </c:ser>
        <c:ser>
          <c:idx val="4"/>
          <c:order val="4"/>
          <c:tx>
            <c:strRef>
              <c:f>Economics!$Q$38</c:f>
              <c:strCache>
                <c:ptCount val="1"/>
                <c:pt idx="0">
                  <c:v>Eco-efficiency_wheat</c:v>
                </c:pt>
              </c:strCache>
            </c:strRef>
          </c:tx>
          <c:spPr>
            <a:ln w="22225"/>
          </c:spPr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Economics!$S$23:$S$28</c:f>
                <c:numCache>
                  <c:formatCode>General</c:formatCode>
                  <c:ptCount val="6"/>
                  <c:pt idx="0">
                    <c:v>2.0820781304344347E-3</c:v>
                  </c:pt>
                  <c:pt idx="1">
                    <c:v>1.0877713594608642E-3</c:v>
                  </c:pt>
                  <c:pt idx="2">
                    <c:v>8.7700280437124527E-4</c:v>
                  </c:pt>
                  <c:pt idx="3">
                    <c:v>1.2363481723853833E-3</c:v>
                  </c:pt>
                  <c:pt idx="4">
                    <c:v>2.2793641478885077E-3</c:v>
                  </c:pt>
                  <c:pt idx="5">
                    <c:v>2.218076248154708E-3</c:v>
                  </c:pt>
                </c:numCache>
              </c:numRef>
            </c:plus>
            <c:minus>
              <c:numRef>
                <c:f>Economics!$S$23:$S$28</c:f>
                <c:numCache>
                  <c:formatCode>General</c:formatCode>
                  <c:ptCount val="6"/>
                  <c:pt idx="0">
                    <c:v>2.0820781304344347E-3</c:v>
                  </c:pt>
                  <c:pt idx="1">
                    <c:v>1.0877713594608642E-3</c:v>
                  </c:pt>
                  <c:pt idx="2">
                    <c:v>8.7700280437124527E-4</c:v>
                  </c:pt>
                  <c:pt idx="3">
                    <c:v>1.2363481723853833E-3</c:v>
                  </c:pt>
                  <c:pt idx="4">
                    <c:v>2.2793641478885077E-3</c:v>
                  </c:pt>
                  <c:pt idx="5">
                    <c:v>2.218076248154708E-3</c:v>
                  </c:pt>
                </c:numCache>
              </c:numRef>
            </c:minus>
          </c:errBars>
          <c:cat>
            <c:strRef>
              <c:f>Economics!$L$39:$L$44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Economics!$Q$39:$Q$44</c:f>
              <c:numCache>
                <c:formatCode>0.000</c:formatCode>
                <c:ptCount val="6"/>
                <c:pt idx="0">
                  <c:v>4.0593581966694194E-2</c:v>
                </c:pt>
                <c:pt idx="1">
                  <c:v>4.1551512821408766E-2</c:v>
                </c:pt>
                <c:pt idx="2">
                  <c:v>4.925112020752942E-2</c:v>
                </c:pt>
                <c:pt idx="3">
                  <c:v>5.8397046699442783E-2</c:v>
                </c:pt>
                <c:pt idx="4">
                  <c:v>6.3883535320397908E-2</c:v>
                </c:pt>
                <c:pt idx="5">
                  <c:v>6.7996289532233092E-2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100-4E19-9B99-17C79C28EFCD}"/>
            </c:ext>
          </c:extLst>
        </c:ser>
        <c:ser>
          <c:idx val="5"/>
          <c:order val="5"/>
          <c:tx>
            <c:strRef>
              <c:f>Economics!$R$38</c:f>
              <c:strCache>
                <c:ptCount val="1"/>
                <c:pt idx="0">
                  <c:v>Eco-efficiency_system</c:v>
                </c:pt>
              </c:strCache>
            </c:strRef>
          </c:tx>
          <c:spPr>
            <a:ln w="22225"/>
          </c:spPr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Economics!$T$23:$T$28</c:f>
                <c:numCache>
                  <c:formatCode>General</c:formatCode>
                  <c:ptCount val="6"/>
                  <c:pt idx="0">
                    <c:v>1.3796265598153489E-3</c:v>
                  </c:pt>
                  <c:pt idx="1">
                    <c:v>8.8174761303391031E-4</c:v>
                  </c:pt>
                  <c:pt idx="2">
                    <c:v>1.1178139501840595E-3</c:v>
                  </c:pt>
                  <c:pt idx="3">
                    <c:v>1.7093625968673464E-3</c:v>
                  </c:pt>
                  <c:pt idx="4">
                    <c:v>2.318714959477392E-3</c:v>
                  </c:pt>
                  <c:pt idx="5">
                    <c:v>2.5312604532394976E-3</c:v>
                  </c:pt>
                </c:numCache>
              </c:numRef>
            </c:plus>
            <c:minus>
              <c:numRef>
                <c:f>Economics!$T$23:$T$28</c:f>
                <c:numCache>
                  <c:formatCode>General</c:formatCode>
                  <c:ptCount val="6"/>
                  <c:pt idx="0">
                    <c:v>1.3796265598153489E-3</c:v>
                  </c:pt>
                  <c:pt idx="1">
                    <c:v>8.8174761303391031E-4</c:v>
                  </c:pt>
                  <c:pt idx="2">
                    <c:v>1.1178139501840595E-3</c:v>
                  </c:pt>
                  <c:pt idx="3">
                    <c:v>1.7093625968673464E-3</c:v>
                  </c:pt>
                  <c:pt idx="4">
                    <c:v>2.318714959477392E-3</c:v>
                  </c:pt>
                  <c:pt idx="5">
                    <c:v>2.5312604532394976E-3</c:v>
                  </c:pt>
                </c:numCache>
              </c:numRef>
            </c:minus>
          </c:errBars>
          <c:cat>
            <c:strRef>
              <c:f>Economics!$L$39:$L$44</c:f>
              <c:strCache>
                <c:ptCount val="6"/>
                <c:pt idx="0">
                  <c:v>Sc1</c:v>
                </c:pt>
                <c:pt idx="1">
                  <c:v>Sc2</c:v>
                </c:pt>
                <c:pt idx="2">
                  <c:v>Sc3</c:v>
                </c:pt>
                <c:pt idx="3">
                  <c:v>Sc4</c:v>
                </c:pt>
                <c:pt idx="4">
                  <c:v>Sc5</c:v>
                </c:pt>
                <c:pt idx="5">
                  <c:v>Sc6</c:v>
                </c:pt>
              </c:strCache>
            </c:strRef>
          </c:cat>
          <c:val>
            <c:numRef>
              <c:f>Economics!$R$39:$R$44</c:f>
              <c:numCache>
                <c:formatCode>0.000</c:formatCode>
                <c:ptCount val="6"/>
                <c:pt idx="0">
                  <c:v>2.6024507564486779E-2</c:v>
                </c:pt>
                <c:pt idx="1">
                  <c:v>2.6716654665786242E-2</c:v>
                </c:pt>
                <c:pt idx="2">
                  <c:v>3.3284946303013464E-2</c:v>
                </c:pt>
                <c:pt idx="3">
                  <c:v>3.7063226066516346E-2</c:v>
                </c:pt>
                <c:pt idx="4">
                  <c:v>4.116866055277292E-2</c:v>
                </c:pt>
                <c:pt idx="5">
                  <c:v>4.4217977330264835E-2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100-4E19-9B99-17C79C28E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61824"/>
        <c:axId val="200194688"/>
      </c:lineChart>
      <c:catAx>
        <c:axId val="200182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192768"/>
        <c:crosses val="autoZero"/>
        <c:auto val="1"/>
        <c:lblAlgn val="ctr"/>
        <c:lblOffset val="100"/>
        <c:noMultiLvlLbl val="0"/>
      </c:catAx>
      <c:valAx>
        <c:axId val="200192768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/>
                  <a:t>Net income (USD ha-1)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200182784"/>
        <c:crosses val="autoZero"/>
        <c:crossBetween val="between"/>
      </c:valAx>
      <c:valAx>
        <c:axId val="200194688"/>
        <c:scaling>
          <c:orientation val="minMax"/>
          <c:min val="1.6000000000000004E-2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/>
                  <a:t>Eco-efficiency (USD</a:t>
                </a:r>
                <a:r>
                  <a:rPr lang="en-IN" baseline="0"/>
                  <a:t> MJ-1</a:t>
                </a:r>
                <a:r>
                  <a:rPr lang="en-IN"/>
                  <a:t>)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201261824"/>
        <c:crosses val="max"/>
        <c:crossBetween val="between"/>
      </c:valAx>
      <c:catAx>
        <c:axId val="20126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19468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9.1748906386701634E-2"/>
          <c:y val="3.4780548264800328E-3"/>
          <c:w val="0.78047331583552071"/>
          <c:h val="0.1689698162729658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25008910923172"/>
          <c:y val="2.8252405949256341E-2"/>
          <c:w val="0.83238148472181728"/>
          <c:h val="0.8301942257217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Economics!$L$39</c:f>
              <c:strCache>
                <c:ptCount val="1"/>
                <c:pt idx="0">
                  <c:v>Sc1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e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Economics!$F$23:$H$23</c:f>
                <c:numCache>
                  <c:formatCode>General</c:formatCode>
                  <c:ptCount val="3"/>
                  <c:pt idx="0">
                    <c:v>28.738055407883323</c:v>
                  </c:pt>
                  <c:pt idx="1">
                    <c:v>44.582082291676286</c:v>
                  </c:pt>
                  <c:pt idx="2">
                    <c:v>68.294508086842995</c:v>
                  </c:pt>
                </c:numCache>
              </c:numRef>
            </c:plus>
            <c:minus>
              <c:numRef>
                <c:f>Economics!$F$23:$H$23</c:f>
                <c:numCache>
                  <c:formatCode>General</c:formatCode>
                  <c:ptCount val="3"/>
                  <c:pt idx="0">
                    <c:v>28.738055407883323</c:v>
                  </c:pt>
                  <c:pt idx="1">
                    <c:v>44.582082291676286</c:v>
                  </c:pt>
                  <c:pt idx="2">
                    <c:v>68.294508086842995</c:v>
                  </c:pt>
                </c:numCache>
              </c:numRef>
            </c:minus>
          </c:errBars>
          <c:cat>
            <c:strRef>
              <c:f>Economics!$V$38:$X$38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Economics!$V$39:$X$39</c:f>
              <c:numCache>
                <c:formatCode>0</c:formatCode>
                <c:ptCount val="3"/>
                <c:pt idx="0">
                  <c:v>824.12562223524094</c:v>
                </c:pt>
                <c:pt idx="1">
                  <c:v>1008.7516051305593</c:v>
                </c:pt>
                <c:pt idx="2">
                  <c:v>1832.8772273657999</c:v>
                </c:pt>
              </c:numCache>
            </c:numRef>
          </c:val>
        </c:ser>
        <c:ser>
          <c:idx val="1"/>
          <c:order val="1"/>
          <c:tx>
            <c:strRef>
              <c:f>Economics!$L$40</c:f>
              <c:strCache>
                <c:ptCount val="1"/>
                <c:pt idx="0">
                  <c:v>Sc2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de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Economics!$F$24:$H$24</c:f>
                <c:numCache>
                  <c:formatCode>General</c:formatCode>
                  <c:ptCount val="3"/>
                  <c:pt idx="0">
                    <c:v>25.018622187897268</c:v>
                  </c:pt>
                  <c:pt idx="1">
                    <c:v>21.57403054441232</c:v>
                  </c:pt>
                  <c:pt idx="2">
                    <c:v>31.252641985409475</c:v>
                  </c:pt>
                </c:numCache>
              </c:numRef>
            </c:plus>
            <c:minus>
              <c:numRef>
                <c:f>Economics!$F$24:$H$24</c:f>
                <c:numCache>
                  <c:formatCode>General</c:formatCode>
                  <c:ptCount val="3"/>
                  <c:pt idx="0">
                    <c:v>25.018622187897268</c:v>
                  </c:pt>
                  <c:pt idx="1">
                    <c:v>21.57403054441232</c:v>
                  </c:pt>
                  <c:pt idx="2">
                    <c:v>31.252641985409475</c:v>
                  </c:pt>
                </c:numCache>
              </c:numRef>
            </c:minus>
          </c:errBars>
          <c:cat>
            <c:strRef>
              <c:f>Economics!$V$38:$X$38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Economics!$V$40:$X$40</c:f>
              <c:numCache>
                <c:formatCode>0</c:formatCode>
                <c:ptCount val="3"/>
                <c:pt idx="0">
                  <c:v>849.82153115971471</c:v>
                </c:pt>
                <c:pt idx="1">
                  <c:v>1033.032788891865</c:v>
                </c:pt>
                <c:pt idx="2">
                  <c:v>1882.8543200515796</c:v>
                </c:pt>
              </c:numCache>
            </c:numRef>
          </c:val>
        </c:ser>
        <c:ser>
          <c:idx val="2"/>
          <c:order val="2"/>
          <c:tx>
            <c:strRef>
              <c:f>Economics!$L$41</c:f>
              <c:strCache>
                <c:ptCount val="1"/>
                <c:pt idx="0">
                  <c:v>Sc3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cd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cb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Economics!$F$25:$H$25</c:f>
                <c:numCache>
                  <c:formatCode>General</c:formatCode>
                  <c:ptCount val="3"/>
                  <c:pt idx="0">
                    <c:v>33.847222292311123</c:v>
                  </c:pt>
                  <c:pt idx="1">
                    <c:v>11.217184619290496</c:v>
                  </c:pt>
                  <c:pt idx="2">
                    <c:v>44.921139618428953</c:v>
                  </c:pt>
                </c:numCache>
              </c:numRef>
            </c:plus>
            <c:minus>
              <c:numRef>
                <c:f>Economics!$F$25:$H$25</c:f>
                <c:numCache>
                  <c:formatCode>General</c:formatCode>
                  <c:ptCount val="3"/>
                  <c:pt idx="0">
                    <c:v>33.847222292311123</c:v>
                  </c:pt>
                  <c:pt idx="1">
                    <c:v>11.217184619290496</c:v>
                  </c:pt>
                  <c:pt idx="2">
                    <c:v>44.921139618428953</c:v>
                  </c:pt>
                </c:numCache>
              </c:numRef>
            </c:minus>
          </c:errBars>
          <c:cat>
            <c:strRef>
              <c:f>Economics!$V$38:$X$38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Economics!$V$41:$X$41</c:f>
              <c:numCache>
                <c:formatCode>0</c:formatCode>
                <c:ptCount val="3"/>
                <c:pt idx="0">
                  <c:v>883.17160162877383</c:v>
                </c:pt>
                <c:pt idx="1">
                  <c:v>1086.2930031901308</c:v>
                </c:pt>
                <c:pt idx="2">
                  <c:v>1969.4646048189049</c:v>
                </c:pt>
              </c:numCache>
            </c:numRef>
          </c:val>
        </c:ser>
        <c:ser>
          <c:idx val="3"/>
          <c:order val="3"/>
          <c:tx>
            <c:strRef>
              <c:f>Economics!$L$42</c:f>
              <c:strCache>
                <c:ptCount val="1"/>
                <c:pt idx="0">
                  <c:v>Sc4</c:v>
                </c:pt>
              </c:strCache>
            </c:strRef>
          </c:tx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Economics!$F$26:$H$26</c:f>
                <c:numCache>
                  <c:formatCode>General</c:formatCode>
                  <c:ptCount val="3"/>
                  <c:pt idx="0">
                    <c:v>47.558630047145186</c:v>
                  </c:pt>
                  <c:pt idx="1">
                    <c:v>17.098147018692217</c:v>
                  </c:pt>
                  <c:pt idx="2">
                    <c:v>55.614549595303089</c:v>
                  </c:pt>
                </c:numCache>
              </c:numRef>
            </c:plus>
            <c:minus>
              <c:numRef>
                <c:f>Economics!$F$26:$H$26</c:f>
                <c:numCache>
                  <c:formatCode>General</c:formatCode>
                  <c:ptCount val="3"/>
                  <c:pt idx="0">
                    <c:v>47.558630047145186</c:v>
                  </c:pt>
                  <c:pt idx="1">
                    <c:v>17.098147018692217</c:v>
                  </c:pt>
                  <c:pt idx="2">
                    <c:v>55.614549595303089</c:v>
                  </c:pt>
                </c:numCache>
              </c:numRef>
            </c:minus>
          </c:errBars>
          <c:cat>
            <c:strRef>
              <c:f>Economics!$V$38:$X$38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Economics!$V$42:$X$42</c:f>
              <c:numCache>
                <c:formatCode>0</c:formatCode>
                <c:ptCount val="3"/>
                <c:pt idx="0">
                  <c:v>895.17780093310591</c:v>
                </c:pt>
                <c:pt idx="1">
                  <c:v>1192.0515124011026</c:v>
                </c:pt>
                <c:pt idx="2">
                  <c:v>2087.2293133342087</c:v>
                </c:pt>
              </c:numCache>
            </c:numRef>
          </c:val>
        </c:ser>
        <c:ser>
          <c:idx val="4"/>
          <c:order val="4"/>
          <c:tx>
            <c:strRef>
              <c:f>Economics!$L$43</c:f>
              <c:strCache>
                <c:ptCount val="1"/>
                <c:pt idx="0">
                  <c:v>Sc5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Economics!$F$27:$H$27</c:f>
                <c:numCache>
                  <c:formatCode>General</c:formatCode>
                  <c:ptCount val="3"/>
                  <c:pt idx="0">
                    <c:v>44.328616920090482</c:v>
                  </c:pt>
                  <c:pt idx="1">
                    <c:v>26.660070228982388</c:v>
                  </c:pt>
                  <c:pt idx="2">
                    <c:v>65.947829694709043</c:v>
                  </c:pt>
                </c:numCache>
              </c:numRef>
            </c:plus>
            <c:minus>
              <c:numRef>
                <c:f>Economics!$F$27:$H$27</c:f>
                <c:numCache>
                  <c:formatCode>General</c:formatCode>
                  <c:ptCount val="3"/>
                  <c:pt idx="0">
                    <c:v>44.328616920090482</c:v>
                  </c:pt>
                  <c:pt idx="1">
                    <c:v>26.660070228982388</c:v>
                  </c:pt>
                  <c:pt idx="2">
                    <c:v>65.947829694709043</c:v>
                  </c:pt>
                </c:numCache>
              </c:numRef>
            </c:minus>
          </c:errBars>
          <c:cat>
            <c:strRef>
              <c:f>Economics!$V$38:$X$38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Economics!$V$43:$X$43</c:f>
              <c:numCache>
                <c:formatCode>0</c:formatCode>
                <c:ptCount val="3"/>
                <c:pt idx="0">
                  <c:v>946.47386059832445</c:v>
                </c:pt>
                <c:pt idx="1">
                  <c:v>1229.3959613649643</c:v>
                </c:pt>
                <c:pt idx="2">
                  <c:v>2175.8698219632884</c:v>
                </c:pt>
              </c:numCache>
            </c:numRef>
          </c:val>
        </c:ser>
        <c:ser>
          <c:idx val="5"/>
          <c:order val="5"/>
          <c:tx>
            <c:strRef>
              <c:f>Economics!$L$44</c:f>
              <c:strCache>
                <c:ptCount val="1"/>
                <c:pt idx="0">
                  <c:v>Sc6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Economics!$F$28:$H$28</c:f>
                <c:numCache>
                  <c:formatCode>General</c:formatCode>
                  <c:ptCount val="3"/>
                  <c:pt idx="0">
                    <c:v>46.875298235203381</c:v>
                  </c:pt>
                  <c:pt idx="1">
                    <c:v>22.883705398570736</c:v>
                  </c:pt>
                  <c:pt idx="2">
                    <c:v>67.1039360017338</c:v>
                  </c:pt>
                </c:numCache>
              </c:numRef>
            </c:plus>
            <c:minus>
              <c:numRef>
                <c:f>Economics!$F$28:$H$28</c:f>
                <c:numCache>
                  <c:formatCode>General</c:formatCode>
                  <c:ptCount val="3"/>
                  <c:pt idx="0">
                    <c:v>46.875298235203381</c:v>
                  </c:pt>
                  <c:pt idx="1">
                    <c:v>22.883705398570736</c:v>
                  </c:pt>
                  <c:pt idx="2">
                    <c:v>67.1039360017338</c:v>
                  </c:pt>
                </c:numCache>
              </c:numRef>
            </c:minus>
          </c:errBars>
          <c:cat>
            <c:strRef>
              <c:f>Economics!$V$38:$X$38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Economics!$V$44:$X$44</c:f>
              <c:numCache>
                <c:formatCode>0</c:formatCode>
                <c:ptCount val="3"/>
                <c:pt idx="0">
                  <c:v>996.20986323099021</c:v>
                </c:pt>
                <c:pt idx="1">
                  <c:v>1255.0827586078165</c:v>
                </c:pt>
                <c:pt idx="2">
                  <c:v>2251.292621838807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64608"/>
        <c:axId val="201366144"/>
      </c:barChart>
      <c:catAx>
        <c:axId val="201364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01366144"/>
        <c:crosses val="autoZero"/>
        <c:auto val="1"/>
        <c:lblAlgn val="ctr"/>
        <c:lblOffset val="100"/>
        <c:noMultiLvlLbl val="0"/>
      </c:catAx>
      <c:valAx>
        <c:axId val="2013661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return (USD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1.6926906127474807E-2"/>
              <c:y val="0.1368193350831146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0136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7677489387900586"/>
          <c:y val="3.4780548264800328E-3"/>
          <c:w val="0.59143498266420402"/>
          <c:h val="0.11063648293963253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04999027899289"/>
          <c:y val="3.6916885389326332E-2"/>
          <c:w val="0.82952897670198622"/>
          <c:h val="0.83566491688538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Economics!$L$39</c:f>
              <c:strCache>
                <c:ptCount val="1"/>
                <c:pt idx="0">
                  <c:v>Sc1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Economics!$O$23:$Q$23</c:f>
                <c:numCache>
                  <c:formatCode>General</c:formatCode>
                  <c:ptCount val="3"/>
                  <c:pt idx="0">
                    <c:v>9.4807149470819854E-4</c:v>
                  </c:pt>
                  <c:pt idx="1">
                    <c:v>2.0820781304344347E-3</c:v>
                  </c:pt>
                  <c:pt idx="2">
                    <c:v>1.3796265598153489E-3</c:v>
                  </c:pt>
                </c:numCache>
              </c:numRef>
            </c:plus>
            <c:minus>
              <c:numRef>
                <c:f>Economics!$O$23:$Q$23</c:f>
                <c:numCache>
                  <c:formatCode>General</c:formatCode>
                  <c:ptCount val="3"/>
                  <c:pt idx="0">
                    <c:v>9.4807149470819854E-4</c:v>
                  </c:pt>
                  <c:pt idx="1">
                    <c:v>2.0820781304344347E-3</c:v>
                  </c:pt>
                  <c:pt idx="2">
                    <c:v>1.3796265598153489E-3</c:v>
                  </c:pt>
                </c:numCache>
              </c:numRef>
            </c:minus>
          </c:errBars>
          <c:cat>
            <c:strRef>
              <c:f>Economics!$Y$38:$AA$38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Economics!$Y$39:$AA$39</c:f>
              <c:numCache>
                <c:formatCode>0.000</c:formatCode>
                <c:ptCount val="3"/>
                <c:pt idx="0">
                  <c:v>1.8076585130406189E-2</c:v>
                </c:pt>
                <c:pt idx="1">
                  <c:v>4.0593581966694194E-2</c:v>
                </c:pt>
                <c:pt idx="2">
                  <c:v>2.6024507564486779E-2</c:v>
                </c:pt>
              </c:numCache>
            </c:numRef>
          </c:val>
        </c:ser>
        <c:ser>
          <c:idx val="1"/>
          <c:order val="1"/>
          <c:tx>
            <c:strRef>
              <c:f>Economics!$L$40</c:f>
              <c:strCache>
                <c:ptCount val="1"/>
                <c:pt idx="0">
                  <c:v>Sc2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Economics!$O$24:$Q$24</c:f>
                <c:numCache>
                  <c:formatCode>General</c:formatCode>
                  <c:ptCount val="3"/>
                  <c:pt idx="0">
                    <c:v>8.5149199542627896E-4</c:v>
                  </c:pt>
                  <c:pt idx="1">
                    <c:v>1.0877713594608642E-3</c:v>
                  </c:pt>
                  <c:pt idx="2">
                    <c:v>8.8174761303391031E-4</c:v>
                  </c:pt>
                </c:numCache>
              </c:numRef>
            </c:plus>
            <c:minus>
              <c:numRef>
                <c:f>Economics!$O$24:$Q$24</c:f>
                <c:numCache>
                  <c:formatCode>General</c:formatCode>
                  <c:ptCount val="3"/>
                  <c:pt idx="0">
                    <c:v>8.5149199542627896E-4</c:v>
                  </c:pt>
                  <c:pt idx="1">
                    <c:v>1.0877713594608642E-3</c:v>
                  </c:pt>
                  <c:pt idx="2">
                    <c:v>8.8174761303391031E-4</c:v>
                  </c:pt>
                </c:numCache>
              </c:numRef>
            </c:minus>
          </c:errBars>
          <c:cat>
            <c:strRef>
              <c:f>Economics!$Y$38:$AA$38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Economics!$Y$40:$AA$40</c:f>
              <c:numCache>
                <c:formatCode>0.000</c:formatCode>
                <c:ptCount val="3"/>
                <c:pt idx="0">
                  <c:v>1.8633928096515606E-2</c:v>
                </c:pt>
                <c:pt idx="1">
                  <c:v>4.1551512821408766E-2</c:v>
                </c:pt>
                <c:pt idx="2">
                  <c:v>2.6716654665786242E-2</c:v>
                </c:pt>
              </c:numCache>
            </c:numRef>
          </c:val>
        </c:ser>
        <c:ser>
          <c:idx val="2"/>
          <c:order val="2"/>
          <c:tx>
            <c:strRef>
              <c:f>Economics!$L$41</c:f>
              <c:strCache>
                <c:ptCount val="1"/>
                <c:pt idx="0">
                  <c:v>Sc3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Economics!$O$25:$Q$25</c:f>
                <c:numCache>
                  <c:formatCode>General</c:formatCode>
                  <c:ptCount val="3"/>
                  <c:pt idx="0">
                    <c:v>1.1881907946805505E-3</c:v>
                  </c:pt>
                  <c:pt idx="1">
                    <c:v>8.7700280437124527E-4</c:v>
                  </c:pt>
                  <c:pt idx="2">
                    <c:v>1.1178139501840595E-3</c:v>
                  </c:pt>
                </c:numCache>
              </c:numRef>
            </c:plus>
            <c:minus>
              <c:numRef>
                <c:f>Economics!$O$25:$Q$25</c:f>
                <c:numCache>
                  <c:formatCode>General</c:formatCode>
                  <c:ptCount val="3"/>
                  <c:pt idx="0">
                    <c:v>1.1881907946805505E-3</c:v>
                  </c:pt>
                  <c:pt idx="1">
                    <c:v>8.7700280437124527E-4</c:v>
                  </c:pt>
                  <c:pt idx="2">
                    <c:v>1.1178139501840595E-3</c:v>
                  </c:pt>
                </c:numCache>
              </c:numRef>
            </c:minus>
          </c:errBars>
          <c:cat>
            <c:strRef>
              <c:f>Economics!$Y$38:$AA$38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Economics!$Y$41:$AA$41</c:f>
              <c:numCache>
                <c:formatCode>0.000</c:formatCode>
                <c:ptCount val="3"/>
                <c:pt idx="0">
                  <c:v>2.3801705863428932E-2</c:v>
                </c:pt>
                <c:pt idx="1">
                  <c:v>4.925112020752942E-2</c:v>
                </c:pt>
                <c:pt idx="2">
                  <c:v>3.3284946303013464E-2</c:v>
                </c:pt>
              </c:numCache>
            </c:numRef>
          </c:val>
        </c:ser>
        <c:ser>
          <c:idx val="3"/>
          <c:order val="3"/>
          <c:tx>
            <c:strRef>
              <c:f>Economics!$L$42</c:f>
              <c:strCache>
                <c:ptCount val="1"/>
                <c:pt idx="0">
                  <c:v>Sc4</c:v>
                </c:pt>
              </c:strCache>
            </c:strRef>
          </c:tx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Economics!$O$26:$Q$26</c:f>
                <c:numCache>
                  <c:formatCode>General</c:formatCode>
                  <c:ptCount val="3"/>
                  <c:pt idx="0">
                    <c:v>1.9797747373222251E-3</c:v>
                  </c:pt>
                  <c:pt idx="1">
                    <c:v>1.2363481723853833E-3</c:v>
                  </c:pt>
                  <c:pt idx="2">
                    <c:v>1.7093625968673464E-3</c:v>
                  </c:pt>
                </c:numCache>
              </c:numRef>
            </c:plus>
            <c:minus>
              <c:numRef>
                <c:f>Economics!$O$26:$Q$26</c:f>
                <c:numCache>
                  <c:formatCode>General</c:formatCode>
                  <c:ptCount val="3"/>
                  <c:pt idx="0">
                    <c:v>1.9797747373222251E-3</c:v>
                  </c:pt>
                  <c:pt idx="1">
                    <c:v>1.2363481723853833E-3</c:v>
                  </c:pt>
                  <c:pt idx="2">
                    <c:v>1.7093625968673464E-3</c:v>
                  </c:pt>
                </c:numCache>
              </c:numRef>
            </c:minus>
          </c:errBars>
          <c:cat>
            <c:strRef>
              <c:f>Economics!$Y$38:$AA$38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Economics!$Y$42:$AA$42</c:f>
              <c:numCache>
                <c:formatCode>0.000</c:formatCode>
                <c:ptCount val="3"/>
                <c:pt idx="0">
                  <c:v>2.497507160967118E-2</c:v>
                </c:pt>
                <c:pt idx="1">
                  <c:v>5.8397046699442783E-2</c:v>
                </c:pt>
                <c:pt idx="2">
                  <c:v>3.7063226066516346E-2</c:v>
                </c:pt>
              </c:numCache>
            </c:numRef>
          </c:val>
        </c:ser>
        <c:ser>
          <c:idx val="4"/>
          <c:order val="4"/>
          <c:tx>
            <c:strRef>
              <c:f>Economics!$L$43</c:f>
              <c:strCache>
                <c:ptCount val="1"/>
                <c:pt idx="0">
                  <c:v>Sc5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Economics!$O$27:$Q$27</c:f>
                <c:numCache>
                  <c:formatCode>General</c:formatCode>
                  <c:ptCount val="3"/>
                  <c:pt idx="0">
                    <c:v>2.2732314475620331E-3</c:v>
                  </c:pt>
                  <c:pt idx="1">
                    <c:v>2.2793641478885077E-3</c:v>
                  </c:pt>
                  <c:pt idx="2">
                    <c:v>2.318714959477392E-3</c:v>
                  </c:pt>
                </c:numCache>
              </c:numRef>
            </c:plus>
            <c:minus>
              <c:numRef>
                <c:f>Economics!$O$27:$Q$27</c:f>
                <c:numCache>
                  <c:formatCode>General</c:formatCode>
                  <c:ptCount val="3"/>
                  <c:pt idx="0">
                    <c:v>2.2732314475620331E-3</c:v>
                  </c:pt>
                  <c:pt idx="1">
                    <c:v>2.2793641478885077E-3</c:v>
                  </c:pt>
                  <c:pt idx="2">
                    <c:v>2.318714959477392E-3</c:v>
                  </c:pt>
                </c:numCache>
              </c:numRef>
            </c:minus>
          </c:errBars>
          <c:cat>
            <c:strRef>
              <c:f>Economics!$Y$38:$AA$38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Economics!$Y$43:$AA$43</c:f>
              <c:numCache>
                <c:formatCode>0.000</c:formatCode>
                <c:ptCount val="3"/>
                <c:pt idx="0">
                  <c:v>2.8202908219275125E-2</c:v>
                </c:pt>
                <c:pt idx="1">
                  <c:v>6.3883535320397908E-2</c:v>
                </c:pt>
                <c:pt idx="2">
                  <c:v>4.116866055277292E-2</c:v>
                </c:pt>
              </c:numCache>
            </c:numRef>
          </c:val>
        </c:ser>
        <c:ser>
          <c:idx val="5"/>
          <c:order val="5"/>
          <c:tx>
            <c:strRef>
              <c:f>Economics!$L$44</c:f>
              <c:strCache>
                <c:ptCount val="1"/>
                <c:pt idx="0">
                  <c:v>Sc6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Economics!$O$28:$Q$28</c:f>
                <c:numCache>
                  <c:formatCode>General</c:formatCode>
                  <c:ptCount val="3"/>
                  <c:pt idx="0">
                    <c:v>2.5641381250803004E-3</c:v>
                  </c:pt>
                  <c:pt idx="1">
                    <c:v>2.218076248154708E-3</c:v>
                  </c:pt>
                  <c:pt idx="2">
                    <c:v>2.5312604532394976E-3</c:v>
                  </c:pt>
                </c:numCache>
              </c:numRef>
            </c:plus>
            <c:minus>
              <c:numRef>
                <c:f>Economics!$O$28:$Q$28</c:f>
                <c:numCache>
                  <c:formatCode>General</c:formatCode>
                  <c:ptCount val="3"/>
                  <c:pt idx="0">
                    <c:v>2.5641381250803004E-3</c:v>
                  </c:pt>
                  <c:pt idx="1">
                    <c:v>2.218076248154708E-3</c:v>
                  </c:pt>
                  <c:pt idx="2">
                    <c:v>2.5312604532394976E-3</c:v>
                  </c:pt>
                </c:numCache>
              </c:numRef>
            </c:minus>
          </c:errBars>
          <c:cat>
            <c:strRef>
              <c:f>Economics!$Y$38:$AA$38</c:f>
              <c:strCache>
                <c:ptCount val="3"/>
                <c:pt idx="0">
                  <c:v>Rice</c:v>
                </c:pt>
                <c:pt idx="1">
                  <c:v>Wheat</c:v>
                </c:pt>
                <c:pt idx="2">
                  <c:v>System</c:v>
                </c:pt>
              </c:strCache>
            </c:strRef>
          </c:cat>
          <c:val>
            <c:numRef>
              <c:f>Economics!$Y$44:$AA$44</c:f>
              <c:numCache>
                <c:formatCode>0.000</c:formatCode>
                <c:ptCount val="3"/>
                <c:pt idx="0">
                  <c:v>3.0746935544010007E-2</c:v>
                </c:pt>
                <c:pt idx="1">
                  <c:v>6.7996289532233092E-2</c:v>
                </c:pt>
                <c:pt idx="2">
                  <c:v>4.4217977330264835E-2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18464"/>
        <c:axId val="201409664"/>
      </c:barChart>
      <c:catAx>
        <c:axId val="201518464"/>
        <c:scaling>
          <c:orientation val="minMax"/>
        </c:scaling>
        <c:delete val="0"/>
        <c:axPos val="b"/>
        <c:majorTickMark val="out"/>
        <c:minorTickMark val="none"/>
        <c:tickLblPos val="nextTo"/>
        <c:crossAx val="201409664"/>
        <c:crosses val="autoZero"/>
        <c:auto val="1"/>
        <c:lblAlgn val="ctr"/>
        <c:lblOffset val="100"/>
        <c:noMultiLvlLbl val="0"/>
      </c:catAx>
      <c:valAx>
        <c:axId val="201409664"/>
        <c:scaling>
          <c:orientation val="minMax"/>
          <c:max val="0.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Economic- efficiency </a:t>
                </a:r>
              </a:p>
              <a:p>
                <a:pPr>
                  <a:defRPr/>
                </a:pPr>
                <a:r>
                  <a:rPr lang="en-US"/>
                  <a:t>(USD MJ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6.4361167816985826E-4"/>
              <c:y val="0.13727690288713912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crossAx val="201518464"/>
        <c:crosses val="autoZero"/>
        <c:crossBetween val="between"/>
        <c:majorUnit val="2.0000000000000004E-2"/>
        <c:minorUnit val="2.0000000000000004E-2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31750</xdr:colOff>
      <xdr:row>22</xdr:row>
      <xdr:rowOff>127000</xdr:rowOff>
    </xdr:from>
    <xdr:to>
      <xdr:col>34</xdr:col>
      <xdr:colOff>336550</xdr:colOff>
      <xdr:row>38</xdr:row>
      <xdr:rowOff>44450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203200</xdr:colOff>
      <xdr:row>44</xdr:row>
      <xdr:rowOff>158750</xdr:rowOff>
    </xdr:from>
    <xdr:to>
      <xdr:col>11</xdr:col>
      <xdr:colOff>273050</xdr:colOff>
      <xdr:row>60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171451</xdr:colOff>
      <xdr:row>38</xdr:row>
      <xdr:rowOff>38100</xdr:rowOff>
    </xdr:from>
    <xdr:to>
      <xdr:col>22</xdr:col>
      <xdr:colOff>400051</xdr:colOff>
      <xdr:row>53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117475</xdr:colOff>
      <xdr:row>19</xdr:row>
      <xdr:rowOff>104775</xdr:rowOff>
    </xdr:from>
    <xdr:to>
      <xdr:col>22</xdr:col>
      <xdr:colOff>225425</xdr:colOff>
      <xdr:row>29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41275</xdr:colOff>
      <xdr:row>41</xdr:row>
      <xdr:rowOff>53975</xdr:rowOff>
    </xdr:from>
    <xdr:to>
      <xdr:col>21</xdr:col>
      <xdr:colOff>149225</xdr:colOff>
      <xdr:row>56</xdr:row>
      <xdr:rowOff>34925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504825</xdr:colOff>
      <xdr:row>41</xdr:row>
      <xdr:rowOff>136524</xdr:rowOff>
    </xdr:from>
    <xdr:to>
      <xdr:col>9</xdr:col>
      <xdr:colOff>333375</xdr:colOff>
      <xdr:row>54</xdr:row>
      <xdr:rowOff>139699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114300</xdr:colOff>
      <xdr:row>33</xdr:row>
      <xdr:rowOff>79375</xdr:rowOff>
    </xdr:from>
    <xdr:to>
      <xdr:col>32</xdr:col>
      <xdr:colOff>273050</xdr:colOff>
      <xdr:row>43</xdr:row>
      <xdr:rowOff>704850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514349</xdr:colOff>
      <xdr:row>47</xdr:row>
      <xdr:rowOff>104774</xdr:rowOff>
    </xdr:from>
    <xdr:to>
      <xdr:col>15</xdr:col>
      <xdr:colOff>314324</xdr:colOff>
      <xdr:row>69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400048</xdr:colOff>
      <xdr:row>34</xdr:row>
      <xdr:rowOff>142875</xdr:rowOff>
    </xdr:from>
    <xdr:to>
      <xdr:col>7</xdr:col>
      <xdr:colOff>505798</xdr:colOff>
      <xdr:row>49</xdr:row>
      <xdr:rowOff>104625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32</xdr:row>
      <xdr:rowOff>0</xdr:rowOff>
    </xdr:from>
    <xdr:to>
      <xdr:col>23</xdr:col>
      <xdr:colOff>0</xdr:colOff>
      <xdr:row>43</xdr:row>
      <xdr:rowOff>800100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</xdr:colOff>
      <xdr:row>48</xdr:row>
      <xdr:rowOff>0</xdr:rowOff>
    </xdr:from>
    <xdr:to>
      <xdr:col>23</xdr:col>
      <xdr:colOff>581025</xdr:colOff>
      <xdr:row>63</xdr:row>
      <xdr:rowOff>114300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333375</xdr:colOff>
      <xdr:row>22</xdr:row>
      <xdr:rowOff>238124</xdr:rowOff>
    </xdr:from>
    <xdr:to>
      <xdr:col>25</xdr:col>
      <xdr:colOff>400050</xdr:colOff>
      <xdr:row>30</xdr:row>
      <xdr:rowOff>161924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48</xdr:row>
      <xdr:rowOff>185737</xdr:rowOff>
    </xdr:from>
    <xdr:to>
      <xdr:col>10</xdr:col>
      <xdr:colOff>200025</xdr:colOff>
      <xdr:row>63</xdr:row>
      <xdr:rowOff>71437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333375</xdr:colOff>
      <xdr:row>48</xdr:row>
      <xdr:rowOff>185737</xdr:rowOff>
    </xdr:from>
    <xdr:to>
      <xdr:col>18</xdr:col>
      <xdr:colOff>581025</xdr:colOff>
      <xdr:row>63</xdr:row>
      <xdr:rowOff>71437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352424</xdr:colOff>
      <xdr:row>11</xdr:row>
      <xdr:rowOff>152399</xdr:rowOff>
    </xdr:from>
    <xdr:to>
      <xdr:col>23</xdr:col>
      <xdr:colOff>413384</xdr:colOff>
      <xdr:row>24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352423</xdr:colOff>
      <xdr:row>24</xdr:row>
      <xdr:rowOff>19049</xdr:rowOff>
    </xdr:from>
    <xdr:to>
      <xdr:col>23</xdr:col>
      <xdr:colOff>413383</xdr:colOff>
      <xdr:row>36</xdr:row>
      <xdr:rowOff>76199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1"/>
  <sheetViews>
    <sheetView topLeftCell="F28" workbookViewId="0">
      <selection activeCell="AA45" sqref="AA45"/>
    </sheetView>
  </sheetViews>
  <sheetFormatPr defaultRowHeight="15" x14ac:dyDescent="0.25"/>
  <cols>
    <col min="3" max="3" width="9.5703125" bestFit="1" customWidth="1"/>
    <col min="4" max="4" width="10.5703125" bestFit="1" customWidth="1"/>
    <col min="5" max="5" width="11.5703125" bestFit="1" customWidth="1"/>
    <col min="6" max="6" width="11.42578125" bestFit="1" customWidth="1"/>
    <col min="35" max="35" width="11.42578125" bestFit="1" customWidth="1"/>
    <col min="36" max="36" width="11.42578125" customWidth="1"/>
    <col min="37" max="37" width="9" bestFit="1" customWidth="1"/>
    <col min="38" max="40" width="9.42578125" bestFit="1" customWidth="1"/>
    <col min="41" max="42" width="9" bestFit="1" customWidth="1"/>
  </cols>
  <sheetData>
    <row r="1" spans="1:43" ht="90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10</v>
      </c>
      <c r="O1" s="3" t="s">
        <v>13</v>
      </c>
      <c r="P1" s="3" t="s">
        <v>14</v>
      </c>
      <c r="Q1" s="3" t="s">
        <v>64</v>
      </c>
      <c r="R1" s="3" t="s">
        <v>15</v>
      </c>
      <c r="S1" s="12" t="s">
        <v>21</v>
      </c>
      <c r="T1" s="12" t="s">
        <v>24</v>
      </c>
      <c r="U1" s="12" t="s">
        <v>23</v>
      </c>
      <c r="V1" s="19" t="s">
        <v>21</v>
      </c>
      <c r="W1" s="19" t="s">
        <v>24</v>
      </c>
      <c r="X1" s="19" t="s">
        <v>23</v>
      </c>
      <c r="Y1" s="7" t="s">
        <v>25</v>
      </c>
      <c r="Z1" s="7" t="s">
        <v>26</v>
      </c>
      <c r="AA1" s="12" t="s">
        <v>23</v>
      </c>
      <c r="AB1" s="21" t="s">
        <v>25</v>
      </c>
      <c r="AC1" s="21" t="s">
        <v>26</v>
      </c>
      <c r="AD1" s="19" t="s">
        <v>23</v>
      </c>
      <c r="AE1" s="7" t="s">
        <v>39</v>
      </c>
      <c r="AF1" s="13" t="s">
        <v>35</v>
      </c>
      <c r="AG1" s="14" t="s">
        <v>36</v>
      </c>
      <c r="AH1" s="8" t="s">
        <v>37</v>
      </c>
      <c r="AI1" s="15" t="s">
        <v>41</v>
      </c>
      <c r="AJ1" s="11" t="s">
        <v>40</v>
      </c>
      <c r="AK1" s="15" t="s">
        <v>38</v>
      </c>
    </row>
    <row r="2" spans="1:43" ht="14.45" x14ac:dyDescent="0.35">
      <c r="A2">
        <v>1</v>
      </c>
      <c r="B2">
        <v>1</v>
      </c>
      <c r="C2" s="5">
        <v>1976.7884444444444</v>
      </c>
      <c r="D2" s="5">
        <v>1381.2323333333336</v>
      </c>
      <c r="E2" s="5">
        <f>188.16+789.58</f>
        <v>977.74</v>
      </c>
      <c r="F2" s="5">
        <f>SUM(C2:E2)</f>
        <v>4335.7607777777775</v>
      </c>
      <c r="G2" s="5">
        <v>183.75</v>
      </c>
      <c r="H2" s="5">
        <v>14747.899999999998</v>
      </c>
      <c r="I2" s="5">
        <v>1993.2</v>
      </c>
      <c r="J2" s="5">
        <v>19542.822800000005</v>
      </c>
      <c r="K2" s="4">
        <f>SUM(G2:J2)</f>
        <v>36467.6728</v>
      </c>
      <c r="L2" s="5">
        <v>47.04</v>
      </c>
      <c r="M2" s="4">
        <v>2290.5158666666675</v>
      </c>
      <c r="N2" s="4">
        <f>SUM(L2:M2)</f>
        <v>2337.5558666666675</v>
      </c>
      <c r="O2" s="5">
        <v>1126.2</v>
      </c>
      <c r="P2" s="5">
        <v>385</v>
      </c>
      <c r="Q2" s="5">
        <f>(AG2-AF2)</f>
        <v>120815.43666666668</v>
      </c>
      <c r="R2" s="4">
        <f>(F2+K2+N2+O2+P2)</f>
        <v>44652.189444444441</v>
      </c>
      <c r="S2" s="5">
        <f>F2+J2+L2+M2+O2+P2</f>
        <v>27727.339444444453</v>
      </c>
      <c r="T2" s="5">
        <f>G2+H2+I2</f>
        <v>16924.849999999999</v>
      </c>
      <c r="U2" s="5">
        <f>S2+T2</f>
        <v>44652.189444444448</v>
      </c>
      <c r="V2" s="20">
        <f t="shared" ref="V2:X7" si="0">(S2+S8+S14)/3</f>
        <v>28760.143340740746</v>
      </c>
      <c r="W2" s="20">
        <f t="shared" si="0"/>
        <v>16924.849999999999</v>
      </c>
      <c r="X2" s="20">
        <f t="shared" si="0"/>
        <v>45684.993340740737</v>
      </c>
      <c r="Y2" s="5">
        <f t="shared" ref="Y2:Y19" si="1">G2+L2+M2</f>
        <v>2521.3058666666675</v>
      </c>
      <c r="Z2" s="5">
        <f t="shared" ref="Z2:Z19" si="2">F2+H2+I2+J2+O2+P2</f>
        <v>42130.883577777779</v>
      </c>
      <c r="AA2" s="5">
        <f>SUM(Y2:Z2)</f>
        <v>44652.189444444448</v>
      </c>
      <c r="AB2" s="20">
        <f>(Y2+Y8+Y14)/3</f>
        <v>2624.4138488888893</v>
      </c>
      <c r="AC2" s="20">
        <f>(Z2+Z8+Z14)/3</f>
        <v>43060.579491851851</v>
      </c>
      <c r="AD2" s="20">
        <f>(AA2+AA8+AA14)/3</f>
        <v>45684.993340740737</v>
      </c>
      <c r="AE2" s="5">
        <v>6657</v>
      </c>
      <c r="AF2" s="5">
        <v>97857.9</v>
      </c>
      <c r="AG2" s="6">
        <v>218673.33666666667</v>
      </c>
      <c r="AH2" s="9">
        <f t="shared" ref="AH2:AH19" si="3">AG2-U2</f>
        <v>174021.14722222224</v>
      </c>
      <c r="AI2" s="16">
        <f t="shared" ref="AI2:AI19" si="4">AG2/U2</f>
        <v>4.8972590008993082</v>
      </c>
      <c r="AJ2" s="16">
        <f>AF2/AA2</f>
        <v>2.1915588287502286</v>
      </c>
      <c r="AK2" s="18">
        <f t="shared" ref="AK2:AP7" si="5">(AE2+AE8+AE14)/3</f>
        <v>6725.666666666667</v>
      </c>
      <c r="AL2" s="18">
        <f>(AF2+AF8+AF14)/3</f>
        <v>98867.3</v>
      </c>
      <c r="AM2" s="18">
        <f>(AG2+AG8+AG14)/3</f>
        <v>217461.42444444445</v>
      </c>
      <c r="AN2" s="18">
        <f>(AH2+AH8+AH14)/3</f>
        <v>171776.43110370371</v>
      </c>
      <c r="AO2" s="16">
        <f>(AI2+AI8+AI14)/3</f>
        <v>4.7692431464004139</v>
      </c>
      <c r="AP2" s="16">
        <f t="shared" si="5"/>
        <v>2.1674737507197208</v>
      </c>
      <c r="AQ2" s="16" t="e">
        <f>(#REF!+#REF!+#REF!)/3</f>
        <v>#REF!</v>
      </c>
    </row>
    <row r="3" spans="1:43" ht="14.45" x14ac:dyDescent="0.35">
      <c r="A3">
        <v>1</v>
      </c>
      <c r="B3">
        <v>2</v>
      </c>
      <c r="C3" s="5">
        <v>1976.7884444444444</v>
      </c>
      <c r="D3" s="5">
        <v>1381.2323333333336</v>
      </c>
      <c r="E3" s="5">
        <f>188.16+789.58</f>
        <v>977.74</v>
      </c>
      <c r="F3" s="5">
        <f t="shared" ref="F3:F19" si="6">SUM(C3:E3)</f>
        <v>4335.7607777777775</v>
      </c>
      <c r="G3" s="5">
        <v>183.75</v>
      </c>
      <c r="H3" s="5">
        <v>14747.899999999998</v>
      </c>
      <c r="I3" s="5">
        <v>1993.2</v>
      </c>
      <c r="J3" s="5">
        <v>19542.822800000005</v>
      </c>
      <c r="K3" s="4">
        <f t="shared" ref="K3:K19" si="7">SUM(G3:J3)</f>
        <v>36467.6728</v>
      </c>
      <c r="L3" s="5">
        <v>47.04</v>
      </c>
      <c r="M3" s="6">
        <v>2290.5158666666675</v>
      </c>
      <c r="N3" s="4">
        <f t="shared" ref="N3:N19" si="8">SUM(L3:M3)</f>
        <v>2337.5558666666675</v>
      </c>
      <c r="O3" s="5">
        <v>1126.2</v>
      </c>
      <c r="P3" s="5">
        <v>385</v>
      </c>
      <c r="Q3" s="5">
        <f t="shared" ref="Q3:Q19" si="9">(AG3-AF3)</f>
        <v>122329.80833333333</v>
      </c>
      <c r="R3" s="4">
        <f t="shared" ref="R3:R19" si="10">(F3+K3+N3+O3+P3)</f>
        <v>44652.189444444441</v>
      </c>
      <c r="S3" s="5">
        <f t="shared" ref="S3:S19" si="11">F3+J3+L3+M3+O3+P3</f>
        <v>27727.339444444453</v>
      </c>
      <c r="T3" s="5">
        <f t="shared" ref="T3:T19" si="12">G3+H3+I3</f>
        <v>16924.849999999999</v>
      </c>
      <c r="U3" s="5">
        <f t="shared" ref="U3:U19" si="13">S3+T3</f>
        <v>44652.189444444448</v>
      </c>
      <c r="V3" s="20">
        <f t="shared" si="0"/>
        <v>28760.143340740746</v>
      </c>
      <c r="W3" s="20">
        <f t="shared" si="0"/>
        <v>16924.849999999999</v>
      </c>
      <c r="X3" s="20">
        <f t="shared" si="0"/>
        <v>45684.993340740737</v>
      </c>
      <c r="Y3" s="5">
        <f t="shared" si="1"/>
        <v>2521.3058666666675</v>
      </c>
      <c r="Z3" s="5">
        <f t="shared" si="2"/>
        <v>42130.883577777779</v>
      </c>
      <c r="AA3" s="5">
        <f t="shared" ref="AA3:AA19" si="14">SUM(Y3:Z3)</f>
        <v>44652.189444444448</v>
      </c>
      <c r="AB3" s="20">
        <f t="shared" ref="AB3:AD7" si="15">(Y3+Y9+Y15)/3</f>
        <v>2624.4138488888893</v>
      </c>
      <c r="AC3" s="20">
        <f t="shared" si="15"/>
        <v>43060.579491851859</v>
      </c>
      <c r="AD3" s="20">
        <f t="shared" si="15"/>
        <v>45684.993340740744</v>
      </c>
      <c r="AE3" s="5">
        <v>6751</v>
      </c>
      <c r="AF3" s="5">
        <v>99239.7</v>
      </c>
      <c r="AG3" s="5">
        <v>221569.50833333333</v>
      </c>
      <c r="AH3" s="9">
        <f t="shared" si="3"/>
        <v>176917.31888888887</v>
      </c>
      <c r="AI3" s="16">
        <f t="shared" si="4"/>
        <v>4.962119687524094</v>
      </c>
      <c r="AJ3" s="16">
        <f t="shared" ref="AJ3:AJ19" si="16">AF3/AA3</f>
        <v>2.2225046797195125</v>
      </c>
      <c r="AK3" s="18">
        <f t="shared" si="5"/>
        <v>6849.666666666667</v>
      </c>
      <c r="AL3" s="18">
        <f t="shared" si="5"/>
        <v>100690.09999999999</v>
      </c>
      <c r="AM3" s="18">
        <f t="shared" si="5"/>
        <v>220720.03166666665</v>
      </c>
      <c r="AN3" s="18">
        <f t="shared" si="5"/>
        <v>175035.03832592591</v>
      </c>
      <c r="AO3" s="16">
        <f t="shared" si="5"/>
        <v>4.840566944075964</v>
      </c>
      <c r="AP3" s="16">
        <f t="shared" si="5"/>
        <v>2.2070183985175311</v>
      </c>
      <c r="AQ3" s="16" t="e">
        <f>(#REF!+#REF!+#REF!)/3</f>
        <v>#REF!</v>
      </c>
    </row>
    <row r="4" spans="1:43" ht="14.45" x14ac:dyDescent="0.35">
      <c r="A4">
        <v>1</v>
      </c>
      <c r="B4">
        <v>3</v>
      </c>
      <c r="C4" s="5">
        <v>1310.0999999999999</v>
      </c>
      <c r="D4" s="5">
        <v>0</v>
      </c>
      <c r="E4" s="5">
        <v>422.32500000000005</v>
      </c>
      <c r="F4" s="5">
        <f t="shared" si="6"/>
        <v>1732.425</v>
      </c>
      <c r="G4" s="5">
        <v>294</v>
      </c>
      <c r="H4" s="5">
        <v>13474.3</v>
      </c>
      <c r="I4" s="5">
        <v>351.39999999999992</v>
      </c>
      <c r="J4" s="5">
        <v>16821.068759999998</v>
      </c>
      <c r="K4" s="4">
        <f t="shared" si="7"/>
        <v>30940.768759999999</v>
      </c>
      <c r="L4" s="5">
        <v>62.72</v>
      </c>
      <c r="M4" s="5">
        <v>1910.1676399999999</v>
      </c>
      <c r="N4" s="4">
        <f t="shared" si="8"/>
        <v>1972.8876399999999</v>
      </c>
      <c r="O4" s="5">
        <v>1126.2</v>
      </c>
      <c r="P4" s="5">
        <v>385</v>
      </c>
      <c r="Q4" s="5">
        <f t="shared" si="9"/>
        <v>121787.23333333334</v>
      </c>
      <c r="R4" s="4">
        <f t="shared" si="10"/>
        <v>36157.281399999993</v>
      </c>
      <c r="S4" s="5">
        <f t="shared" si="11"/>
        <v>22037.581399999999</v>
      </c>
      <c r="T4" s="5">
        <f t="shared" si="12"/>
        <v>14119.699999999999</v>
      </c>
      <c r="U4" s="5">
        <f t="shared" si="13"/>
        <v>36157.2814</v>
      </c>
      <c r="V4" s="20">
        <f t="shared" si="0"/>
        <v>23044.096511111111</v>
      </c>
      <c r="W4" s="20">
        <f t="shared" si="0"/>
        <v>14119.699999999999</v>
      </c>
      <c r="X4" s="20">
        <f t="shared" si="0"/>
        <v>37163.796511111112</v>
      </c>
      <c r="Y4" s="5">
        <f t="shared" si="1"/>
        <v>2266.8876399999999</v>
      </c>
      <c r="Z4" s="5">
        <f t="shared" si="2"/>
        <v>33890.393759999992</v>
      </c>
      <c r="AA4" s="5">
        <f t="shared" si="14"/>
        <v>36157.281399999993</v>
      </c>
      <c r="AB4" s="20">
        <f t="shared" si="15"/>
        <v>2367.5391511111111</v>
      </c>
      <c r="AC4" s="20">
        <f t="shared" si="15"/>
        <v>34796.257359999996</v>
      </c>
      <c r="AD4" s="20">
        <f t="shared" si="15"/>
        <v>37163.796511111104</v>
      </c>
      <c r="AE4" s="5">
        <v>6434</v>
      </c>
      <c r="AF4" s="5">
        <v>94579.799999999988</v>
      </c>
      <c r="AG4" s="5">
        <v>216367.03333333333</v>
      </c>
      <c r="AH4" s="9">
        <f t="shared" si="3"/>
        <v>180209.75193333332</v>
      </c>
      <c r="AI4" s="16">
        <f t="shared" si="4"/>
        <v>5.9840514816286303</v>
      </c>
      <c r="AJ4" s="16">
        <f t="shared" si="16"/>
        <v>2.6157884757342407</v>
      </c>
      <c r="AK4" s="18">
        <f t="shared" si="5"/>
        <v>6643</v>
      </c>
      <c r="AL4" s="18">
        <f t="shared" si="5"/>
        <v>97652.099999999991</v>
      </c>
      <c r="AM4" s="18">
        <f t="shared" si="5"/>
        <v>217292.22777777779</v>
      </c>
      <c r="AN4" s="18">
        <f t="shared" si="5"/>
        <v>180128.43126666665</v>
      </c>
      <c r="AO4" s="16">
        <f t="shared" si="5"/>
        <v>5.8614539734928996</v>
      </c>
      <c r="AP4" s="16">
        <f t="shared" si="5"/>
        <v>2.6311959886241358</v>
      </c>
      <c r="AQ4" s="16" t="e">
        <f>(#REF!+#REF!+#REF!)/3</f>
        <v>#REF!</v>
      </c>
    </row>
    <row r="5" spans="1:43" ht="14.45" x14ac:dyDescent="0.35">
      <c r="A5">
        <v>1</v>
      </c>
      <c r="B5">
        <v>4</v>
      </c>
      <c r="C5" s="5">
        <v>1310.0999999999999</v>
      </c>
      <c r="D5" s="5">
        <v>0</v>
      </c>
      <c r="E5" s="5">
        <v>422.32500000000005</v>
      </c>
      <c r="F5" s="5">
        <f t="shared" si="6"/>
        <v>1732.425</v>
      </c>
      <c r="G5" s="5">
        <v>294</v>
      </c>
      <c r="H5" s="5">
        <v>13474.3</v>
      </c>
      <c r="I5" s="5">
        <v>341.39999999999992</v>
      </c>
      <c r="J5" s="5">
        <v>15929.13048</v>
      </c>
      <c r="K5" s="4">
        <f t="shared" si="7"/>
        <v>30038.830479999997</v>
      </c>
      <c r="L5" s="5">
        <v>62.72</v>
      </c>
      <c r="M5" s="5">
        <v>1811.0633866666667</v>
      </c>
      <c r="N5" s="4">
        <f t="shared" si="8"/>
        <v>1873.7833866666667</v>
      </c>
      <c r="O5" s="5">
        <v>1126.2</v>
      </c>
      <c r="P5" s="5">
        <v>385</v>
      </c>
      <c r="Q5" s="5">
        <f t="shared" si="9"/>
        <v>124863.25333333333</v>
      </c>
      <c r="R5" s="4">
        <f t="shared" si="10"/>
        <v>35156.238866666659</v>
      </c>
      <c r="S5" s="5">
        <f t="shared" si="11"/>
        <v>21046.538866666666</v>
      </c>
      <c r="T5" s="5">
        <f t="shared" si="12"/>
        <v>14109.699999999999</v>
      </c>
      <c r="U5" s="5">
        <f t="shared" si="13"/>
        <v>35156.238866666667</v>
      </c>
      <c r="V5" s="20">
        <f t="shared" si="0"/>
        <v>21894.021400000001</v>
      </c>
      <c r="W5" s="20">
        <f t="shared" si="0"/>
        <v>14109.699999999999</v>
      </c>
      <c r="X5" s="20">
        <f t="shared" si="0"/>
        <v>36003.721400000002</v>
      </c>
      <c r="Y5" s="5">
        <f t="shared" si="1"/>
        <v>2167.783386666667</v>
      </c>
      <c r="Z5" s="5">
        <f t="shared" si="2"/>
        <v>32988.455480000004</v>
      </c>
      <c r="AA5" s="5">
        <f t="shared" si="14"/>
        <v>35156.238866666674</v>
      </c>
      <c r="AB5" s="20">
        <f t="shared" si="15"/>
        <v>2252.5316400000002</v>
      </c>
      <c r="AC5" s="20">
        <f t="shared" si="15"/>
        <v>33751.189760000001</v>
      </c>
      <c r="AD5" s="20">
        <f t="shared" si="15"/>
        <v>36003.721400000002</v>
      </c>
      <c r="AE5" s="5">
        <v>6622</v>
      </c>
      <c r="AF5" s="5">
        <v>97343.4</v>
      </c>
      <c r="AG5" s="5">
        <v>222206.65333333332</v>
      </c>
      <c r="AH5" s="9">
        <f t="shared" si="3"/>
        <v>187050.41446666664</v>
      </c>
      <c r="AI5" s="16">
        <f t="shared" si="4"/>
        <v>6.3205468075260525</v>
      </c>
      <c r="AJ5" s="16">
        <f t="shared" si="16"/>
        <v>2.7688798101862928</v>
      </c>
      <c r="AK5" s="18">
        <f t="shared" si="5"/>
        <v>6647</v>
      </c>
      <c r="AL5" s="18">
        <f t="shared" si="5"/>
        <v>97710.89999999998</v>
      </c>
      <c r="AM5" s="18">
        <f t="shared" si="5"/>
        <v>221853.8277777778</v>
      </c>
      <c r="AN5" s="18">
        <f t="shared" si="5"/>
        <v>185850.10637777776</v>
      </c>
      <c r="AO5" s="16">
        <f t="shared" si="5"/>
        <v>6.1825368054150651</v>
      </c>
      <c r="AP5" s="16">
        <f t="shared" si="5"/>
        <v>2.7233881484284179</v>
      </c>
      <c r="AQ5" s="16" t="e">
        <f>(#REF!+#REF!+#REF!)/3</f>
        <v>#REF!</v>
      </c>
    </row>
    <row r="6" spans="1:43" ht="14.45" x14ac:dyDescent="0.35">
      <c r="A6">
        <v>1</v>
      </c>
      <c r="B6">
        <v>5</v>
      </c>
      <c r="C6" s="5">
        <v>0</v>
      </c>
      <c r="D6" s="5">
        <v>0</v>
      </c>
      <c r="E6" s="5">
        <v>422.32500000000005</v>
      </c>
      <c r="F6" s="5">
        <f t="shared" si="6"/>
        <v>422.32500000000005</v>
      </c>
      <c r="G6" s="5">
        <v>294</v>
      </c>
      <c r="H6" s="5">
        <v>13626.421999999997</v>
      </c>
      <c r="I6" s="5">
        <v>541.4</v>
      </c>
      <c r="J6" s="5">
        <v>14898.082560000001</v>
      </c>
      <c r="K6" s="4">
        <f t="shared" si="7"/>
        <v>29359.904559999995</v>
      </c>
      <c r="L6" s="5">
        <v>62.72</v>
      </c>
      <c r="M6" s="5">
        <v>1696.5025066666669</v>
      </c>
      <c r="N6" s="4">
        <f t="shared" si="8"/>
        <v>1759.222506666667</v>
      </c>
      <c r="O6" s="5">
        <v>1126.2</v>
      </c>
      <c r="P6" s="5">
        <v>385</v>
      </c>
      <c r="Q6" s="5">
        <f t="shared" si="9"/>
        <v>124318.68333333336</v>
      </c>
      <c r="R6" s="4">
        <f t="shared" si="10"/>
        <v>33052.652066666662</v>
      </c>
      <c r="S6" s="5">
        <f t="shared" si="11"/>
        <v>18590.830066666669</v>
      </c>
      <c r="T6" s="5">
        <f t="shared" si="12"/>
        <v>14461.821999999996</v>
      </c>
      <c r="U6" s="5">
        <f t="shared" si="13"/>
        <v>33052.652066666662</v>
      </c>
      <c r="V6" s="20">
        <f t="shared" si="0"/>
        <v>19279.75855555556</v>
      </c>
      <c r="W6" s="20">
        <f t="shared" si="0"/>
        <v>14472.845333333331</v>
      </c>
      <c r="X6" s="20">
        <f t="shared" si="0"/>
        <v>33752.603888888894</v>
      </c>
      <c r="Y6" s="5">
        <f t="shared" si="1"/>
        <v>2053.222506666667</v>
      </c>
      <c r="Z6" s="5">
        <f t="shared" si="2"/>
        <v>30999.42956</v>
      </c>
      <c r="AA6" s="5">
        <f t="shared" si="14"/>
        <v>33052.652066666669</v>
      </c>
      <c r="AB6" s="20">
        <f t="shared" si="15"/>
        <v>2122.1153555555557</v>
      </c>
      <c r="AC6" s="20">
        <f t="shared" si="15"/>
        <v>31630.488533333337</v>
      </c>
      <c r="AD6" s="20">
        <f t="shared" si="15"/>
        <v>33752.603888888894</v>
      </c>
      <c r="AE6" s="5">
        <v>6711</v>
      </c>
      <c r="AF6" s="5">
        <v>98651.7</v>
      </c>
      <c r="AG6" s="5">
        <v>222970.38333333336</v>
      </c>
      <c r="AH6" s="9">
        <f t="shared" si="3"/>
        <v>189917.7312666667</v>
      </c>
      <c r="AI6" s="16">
        <f t="shared" si="4"/>
        <v>6.745915059511888</v>
      </c>
      <c r="AJ6" s="16">
        <f t="shared" si="16"/>
        <v>2.9846833410227145</v>
      </c>
      <c r="AK6" s="18">
        <f t="shared" si="5"/>
        <v>6730</v>
      </c>
      <c r="AL6" s="18">
        <f t="shared" si="5"/>
        <v>98931</v>
      </c>
      <c r="AM6" s="18">
        <f t="shared" si="5"/>
        <v>222944.3966666667</v>
      </c>
      <c r="AN6" s="18">
        <f t="shared" si="5"/>
        <v>189191.79277777777</v>
      </c>
      <c r="AO6" s="16">
        <f t="shared" si="5"/>
        <v>6.6405971183012644</v>
      </c>
      <c r="AP6" s="16">
        <f t="shared" si="5"/>
        <v>2.9449775788492203</v>
      </c>
      <c r="AQ6" s="16" t="e">
        <f>(#REF!+#REF!+#REF!)/3</f>
        <v>#REF!</v>
      </c>
    </row>
    <row r="7" spans="1:43" ht="14.45" x14ac:dyDescent="0.35">
      <c r="A7">
        <v>1</v>
      </c>
      <c r="B7">
        <v>6</v>
      </c>
      <c r="C7" s="5">
        <v>0</v>
      </c>
      <c r="D7" s="5">
        <v>0</v>
      </c>
      <c r="E7" s="5">
        <v>422.32500000000005</v>
      </c>
      <c r="F7" s="5">
        <f t="shared" si="6"/>
        <v>422.32500000000005</v>
      </c>
      <c r="G7" s="5">
        <v>294</v>
      </c>
      <c r="H7" s="5">
        <v>12599.088666666665</v>
      </c>
      <c r="I7" s="5">
        <v>541.4</v>
      </c>
      <c r="J7" s="5">
        <v>14898.082560000001</v>
      </c>
      <c r="K7" s="4">
        <f t="shared" si="7"/>
        <v>28332.571226666667</v>
      </c>
      <c r="L7" s="5">
        <v>62.72</v>
      </c>
      <c r="M7" s="5">
        <v>1696.5025066666669</v>
      </c>
      <c r="N7" s="4">
        <f t="shared" si="8"/>
        <v>1759.222506666667</v>
      </c>
      <c r="O7" s="5">
        <v>1126.2</v>
      </c>
      <c r="P7" s="5">
        <v>385</v>
      </c>
      <c r="Q7" s="5">
        <f t="shared" si="9"/>
        <v>128079.89999999998</v>
      </c>
      <c r="R7" s="4">
        <f t="shared" si="10"/>
        <v>32025.318733333337</v>
      </c>
      <c r="S7" s="5">
        <f t="shared" si="11"/>
        <v>18590.830066666669</v>
      </c>
      <c r="T7" s="5">
        <f t="shared" si="12"/>
        <v>13434.488666666664</v>
      </c>
      <c r="U7" s="5">
        <f t="shared" si="13"/>
        <v>32025.318733333334</v>
      </c>
      <c r="V7" s="20">
        <f t="shared" si="0"/>
        <v>19279.75855555556</v>
      </c>
      <c r="W7" s="20">
        <f t="shared" si="0"/>
        <v>13326.23111111111</v>
      </c>
      <c r="X7" s="20">
        <f t="shared" si="0"/>
        <v>32605.989666666672</v>
      </c>
      <c r="Y7" s="5">
        <f t="shared" si="1"/>
        <v>2053.222506666667</v>
      </c>
      <c r="Z7" s="5">
        <f t="shared" si="2"/>
        <v>29972.096226666665</v>
      </c>
      <c r="AA7" s="5">
        <f t="shared" si="14"/>
        <v>32025.318733333334</v>
      </c>
      <c r="AB7" s="20">
        <f t="shared" si="15"/>
        <v>2122.1153555555557</v>
      </c>
      <c r="AC7" s="20">
        <f t="shared" si="15"/>
        <v>30483.874311111111</v>
      </c>
      <c r="AD7" s="20">
        <f t="shared" si="15"/>
        <v>32605.989666666672</v>
      </c>
      <c r="AE7" s="5">
        <v>6891</v>
      </c>
      <c r="AF7" s="5">
        <v>101297.7</v>
      </c>
      <c r="AG7" s="5">
        <v>229377.59999999998</v>
      </c>
      <c r="AH7" s="9">
        <f t="shared" si="3"/>
        <v>197352.28126666666</v>
      </c>
      <c r="AI7" s="16">
        <f t="shared" si="4"/>
        <v>7.1623830479243251</v>
      </c>
      <c r="AJ7" s="16">
        <f t="shared" si="16"/>
        <v>3.1630504865066333</v>
      </c>
      <c r="AK7" s="18">
        <f t="shared" si="5"/>
        <v>7008</v>
      </c>
      <c r="AL7" s="18">
        <f t="shared" si="5"/>
        <v>103017.59999999999</v>
      </c>
      <c r="AM7" s="18">
        <f t="shared" si="5"/>
        <v>228561.87222222224</v>
      </c>
      <c r="AN7" s="18">
        <f t="shared" si="5"/>
        <v>195955.88255555555</v>
      </c>
      <c r="AO7" s="16">
        <f t="shared" si="5"/>
        <v>7.0486387072776653</v>
      </c>
      <c r="AP7" s="16">
        <f t="shared" si="5"/>
        <v>3.1724792607653942</v>
      </c>
      <c r="AQ7" s="16" t="e">
        <f>(#REF!+#REF!+#REF!)/3</f>
        <v>#REF!</v>
      </c>
    </row>
    <row r="8" spans="1:43" ht="14.45" x14ac:dyDescent="0.35">
      <c r="A8">
        <v>2</v>
      </c>
      <c r="B8">
        <v>1</v>
      </c>
      <c r="C8" s="5">
        <v>1978.3945555555556</v>
      </c>
      <c r="D8" s="5">
        <v>1382.2123333333336</v>
      </c>
      <c r="E8" s="5">
        <f>188.16+789.58</f>
        <v>977.74</v>
      </c>
      <c r="F8" s="5">
        <f>SUM(C8:E8)</f>
        <v>4338.3468888888892</v>
      </c>
      <c r="G8" s="5">
        <v>183.75</v>
      </c>
      <c r="H8" s="5">
        <v>14747.899999999998</v>
      </c>
      <c r="I8" s="5">
        <v>1993.2</v>
      </c>
      <c r="J8" s="5">
        <v>22303.481600000003</v>
      </c>
      <c r="K8" s="4">
        <f>SUM(G8:J8)</f>
        <v>39228.331600000005</v>
      </c>
      <c r="L8" s="5">
        <v>47.04</v>
      </c>
      <c r="M8" s="5">
        <v>2597.2557333333334</v>
      </c>
      <c r="N8" s="4">
        <f>SUM(L8:M8)</f>
        <v>2644.2957333333334</v>
      </c>
      <c r="O8" s="5">
        <v>1126.2</v>
      </c>
      <c r="P8" s="5">
        <v>385</v>
      </c>
      <c r="Q8" s="5">
        <f t="shared" si="9"/>
        <v>111608.09999999998</v>
      </c>
      <c r="R8" s="4">
        <f>(F8+K8+N8+O8+P8)</f>
        <v>47722.174222222224</v>
      </c>
      <c r="S8" s="5">
        <f t="shared" si="11"/>
        <v>30797.324222222229</v>
      </c>
      <c r="T8" s="5">
        <f t="shared" si="12"/>
        <v>16924.849999999999</v>
      </c>
      <c r="U8" s="5">
        <f t="shared" si="13"/>
        <v>47722.174222222224</v>
      </c>
      <c r="V8" s="61">
        <f>(V2*100)/X2</f>
        <v>62.953152091396205</v>
      </c>
      <c r="W8" s="61">
        <f>(W2*100)/X2</f>
        <v>37.046847908603809</v>
      </c>
      <c r="Y8" s="5">
        <f t="shared" si="1"/>
        <v>2828.0457333333334</v>
      </c>
      <c r="Z8" s="5">
        <f t="shared" si="2"/>
        <v>44894.128488888891</v>
      </c>
      <c r="AA8" s="5">
        <f t="shared" si="14"/>
        <v>47722.174222222224</v>
      </c>
      <c r="AE8" s="5">
        <v>6545</v>
      </c>
      <c r="AF8" s="5">
        <v>96211.5</v>
      </c>
      <c r="AG8" s="5">
        <v>207819.59999999998</v>
      </c>
      <c r="AH8" s="9">
        <f t="shared" si="3"/>
        <v>160097.42577777774</v>
      </c>
      <c r="AI8" s="16">
        <f t="shared" si="4"/>
        <v>4.354780631583778</v>
      </c>
      <c r="AJ8" s="16">
        <f t="shared" si="16"/>
        <v>2.0160753689046782</v>
      </c>
      <c r="AL8" s="17">
        <f>(AL7-AL2)/AL2</f>
        <v>4.1978490360311128E-2</v>
      </c>
      <c r="AN8" s="17">
        <f>(AN7-AN2)/AN2</f>
        <v>0.14076117018203962</v>
      </c>
    </row>
    <row r="9" spans="1:43" ht="14.45" x14ac:dyDescent="0.35">
      <c r="A9">
        <v>2</v>
      </c>
      <c r="B9">
        <v>2</v>
      </c>
      <c r="C9" s="5">
        <v>1978.3945555555556</v>
      </c>
      <c r="D9" s="5">
        <v>1382.2123333333336</v>
      </c>
      <c r="E9" s="5">
        <f>188.16+789.58</f>
        <v>977.74</v>
      </c>
      <c r="F9" s="5">
        <f t="shared" si="6"/>
        <v>4338.3468888888892</v>
      </c>
      <c r="G9" s="5">
        <v>183.75</v>
      </c>
      <c r="H9" s="5">
        <v>14747.899999999998</v>
      </c>
      <c r="I9" s="5">
        <v>1993.2</v>
      </c>
      <c r="J9" s="5">
        <v>22303.481600000003</v>
      </c>
      <c r="K9" s="4">
        <f t="shared" si="7"/>
        <v>39228.331600000005</v>
      </c>
      <c r="L9" s="5">
        <v>47.04</v>
      </c>
      <c r="M9" s="5">
        <v>2597.2557333333334</v>
      </c>
      <c r="N9" s="4">
        <f t="shared" si="8"/>
        <v>2644.2957333333334</v>
      </c>
      <c r="O9" s="5">
        <v>1126.2</v>
      </c>
      <c r="P9" s="5">
        <v>385</v>
      </c>
      <c r="Q9" s="5">
        <f t="shared" si="9"/>
        <v>112371.41666666663</v>
      </c>
      <c r="R9" s="4">
        <f t="shared" si="10"/>
        <v>47722.174222222224</v>
      </c>
      <c r="S9" s="5">
        <f t="shared" si="11"/>
        <v>30797.324222222229</v>
      </c>
      <c r="T9" s="5">
        <f t="shared" si="12"/>
        <v>16924.849999999999</v>
      </c>
      <c r="U9" s="5">
        <f t="shared" si="13"/>
        <v>47722.174222222224</v>
      </c>
      <c r="V9" s="61">
        <f t="shared" ref="V9:V13" si="17">(V3*100)/X3</f>
        <v>62.953152091396205</v>
      </c>
      <c r="W9" s="61">
        <f t="shared" ref="W9:W13" si="18">(W3*100)/X3</f>
        <v>37.046847908603809</v>
      </c>
      <c r="Y9" s="5">
        <f t="shared" si="1"/>
        <v>2828.0457333333334</v>
      </c>
      <c r="Z9" s="5">
        <f t="shared" si="2"/>
        <v>44894.128488888891</v>
      </c>
      <c r="AA9" s="5">
        <f t="shared" si="14"/>
        <v>47722.174222222224</v>
      </c>
      <c r="AE9" s="5">
        <v>6725</v>
      </c>
      <c r="AF9" s="5">
        <v>98857.5</v>
      </c>
      <c r="AG9" s="5">
        <v>211228.91666666663</v>
      </c>
      <c r="AH9" s="9">
        <f t="shared" si="3"/>
        <v>163506.74244444439</v>
      </c>
      <c r="AI9" s="16">
        <f t="shared" si="4"/>
        <v>4.4262215649073706</v>
      </c>
      <c r="AJ9" s="16">
        <f t="shared" si="16"/>
        <v>2.0715212919608805</v>
      </c>
      <c r="AL9" s="17">
        <f>(AL6-AL2)/AL2</f>
        <v>6.4429796302717976E-4</v>
      </c>
      <c r="AN9" s="17">
        <f>(AN6-AN2)/AN2</f>
        <v>0.10138388347095283</v>
      </c>
    </row>
    <row r="10" spans="1:43" ht="14.45" x14ac:dyDescent="0.35">
      <c r="A10">
        <v>2</v>
      </c>
      <c r="B10">
        <v>3</v>
      </c>
      <c r="C10" s="5">
        <v>1310.0999999999999</v>
      </c>
      <c r="D10" s="5">
        <v>0</v>
      </c>
      <c r="E10" s="5">
        <v>422.32500000000005</v>
      </c>
      <c r="F10" s="5">
        <f t="shared" si="6"/>
        <v>1732.425</v>
      </c>
      <c r="G10" s="5">
        <v>294</v>
      </c>
      <c r="H10" s="5">
        <v>13474.3</v>
      </c>
      <c r="I10" s="5">
        <v>351.39999999999992</v>
      </c>
      <c r="J10" s="5">
        <v>19333.225200000001</v>
      </c>
      <c r="K10" s="4">
        <f t="shared" si="7"/>
        <v>33452.925199999998</v>
      </c>
      <c r="L10" s="5">
        <v>62.72</v>
      </c>
      <c r="M10" s="5">
        <v>2189.2961333333337</v>
      </c>
      <c r="N10" s="4">
        <f t="shared" si="8"/>
        <v>2252.0161333333335</v>
      </c>
      <c r="O10" s="5">
        <v>1126.2</v>
      </c>
      <c r="P10" s="5">
        <v>385</v>
      </c>
      <c r="Q10" s="5">
        <f t="shared" si="9"/>
        <v>107668.48333333334</v>
      </c>
      <c r="R10" s="4">
        <f t="shared" si="10"/>
        <v>38948.566333333329</v>
      </c>
      <c r="S10" s="5">
        <f t="shared" si="11"/>
        <v>24828.866333333335</v>
      </c>
      <c r="T10" s="5">
        <f t="shared" si="12"/>
        <v>14119.699999999999</v>
      </c>
      <c r="U10" s="5">
        <f t="shared" si="13"/>
        <v>38948.566333333336</v>
      </c>
      <c r="V10" s="61">
        <f t="shared" si="17"/>
        <v>62.006841804285152</v>
      </c>
      <c r="W10" s="61">
        <f t="shared" si="18"/>
        <v>37.993158195714848</v>
      </c>
      <c r="Y10" s="5">
        <f t="shared" si="1"/>
        <v>2546.0161333333335</v>
      </c>
      <c r="Z10" s="5">
        <f t="shared" si="2"/>
        <v>36402.550199999998</v>
      </c>
      <c r="AA10" s="5">
        <f t="shared" si="14"/>
        <v>38948.566333333329</v>
      </c>
      <c r="AE10" s="5">
        <v>6555</v>
      </c>
      <c r="AF10" s="5">
        <v>96358.5</v>
      </c>
      <c r="AG10" s="5">
        <v>204026.98333333334</v>
      </c>
      <c r="AH10" s="9">
        <f t="shared" si="3"/>
        <v>165078.41700000002</v>
      </c>
      <c r="AI10" s="16">
        <f t="shared" si="4"/>
        <v>5.2383695355359201</v>
      </c>
      <c r="AJ10" s="16">
        <f t="shared" si="16"/>
        <v>2.4739935014638412</v>
      </c>
      <c r="AL10" s="17">
        <f>(AL5-AL2)/AL2</f>
        <v>-1.1696486098032649E-2</v>
      </c>
      <c r="AN10" s="17">
        <f>(AN5-AN2)/AN2</f>
        <v>8.1930187882280445E-2</v>
      </c>
    </row>
    <row r="11" spans="1:43" ht="14.45" x14ac:dyDescent="0.35">
      <c r="A11">
        <v>2</v>
      </c>
      <c r="B11">
        <v>4</v>
      </c>
      <c r="C11" s="5">
        <v>1310.0999999999999</v>
      </c>
      <c r="D11" s="5">
        <v>0</v>
      </c>
      <c r="E11" s="5">
        <v>422.32500000000005</v>
      </c>
      <c r="F11" s="5">
        <f t="shared" si="6"/>
        <v>1732.425</v>
      </c>
      <c r="G11" s="5">
        <v>294</v>
      </c>
      <c r="H11" s="5">
        <v>13474.3</v>
      </c>
      <c r="I11" s="5">
        <v>341.39999999999992</v>
      </c>
      <c r="J11" s="5">
        <v>18617.004360000003</v>
      </c>
      <c r="K11" s="4">
        <f t="shared" si="7"/>
        <v>32726.704360000003</v>
      </c>
      <c r="L11" s="5">
        <v>62.72</v>
      </c>
      <c r="M11" s="5">
        <v>2109.7160400000002</v>
      </c>
      <c r="N11" s="4">
        <f t="shared" si="8"/>
        <v>2172.43604</v>
      </c>
      <c r="O11" s="5">
        <v>1126.2</v>
      </c>
      <c r="P11" s="5">
        <v>385</v>
      </c>
      <c r="Q11" s="5">
        <f t="shared" si="9"/>
        <v>118166.09666666668</v>
      </c>
      <c r="R11" s="4">
        <f t="shared" si="10"/>
        <v>38142.765400000004</v>
      </c>
      <c r="S11" s="5">
        <f t="shared" si="11"/>
        <v>24033.065400000003</v>
      </c>
      <c r="T11" s="5">
        <f t="shared" si="12"/>
        <v>14109.699999999999</v>
      </c>
      <c r="U11" s="5">
        <f t="shared" si="13"/>
        <v>38142.765400000004</v>
      </c>
      <c r="V11" s="61">
        <f t="shared" si="17"/>
        <v>60.810440000793918</v>
      </c>
      <c r="W11" s="61">
        <f t="shared" si="18"/>
        <v>39.189559999206082</v>
      </c>
      <c r="Y11" s="5">
        <f t="shared" si="1"/>
        <v>2466.4360400000005</v>
      </c>
      <c r="Z11" s="5">
        <f t="shared" si="2"/>
        <v>35676.329359999996</v>
      </c>
      <c r="AA11" s="5">
        <f t="shared" si="14"/>
        <v>38142.765399999997</v>
      </c>
      <c r="AE11" s="5">
        <v>6277</v>
      </c>
      <c r="AF11" s="5">
        <v>92271.9</v>
      </c>
      <c r="AG11" s="5">
        <v>210437.99666666667</v>
      </c>
      <c r="AH11" s="9">
        <f t="shared" si="3"/>
        <v>172295.23126666667</v>
      </c>
      <c r="AI11" s="16">
        <f t="shared" si="4"/>
        <v>5.5171143062077679</v>
      </c>
      <c r="AJ11" s="16">
        <f t="shared" si="16"/>
        <v>2.4191193017169121</v>
      </c>
      <c r="AL11" s="17">
        <f>AVERAGE(AL8:AL10)</f>
        <v>1.030876740843522E-2</v>
      </c>
      <c r="AN11" s="58">
        <f>AVERAGE(AN8:AN10)</f>
        <v>0.10802508051175763</v>
      </c>
    </row>
    <row r="12" spans="1:43" ht="14.45" x14ac:dyDescent="0.35">
      <c r="A12">
        <v>2</v>
      </c>
      <c r="B12">
        <v>5</v>
      </c>
      <c r="C12" s="5">
        <v>0</v>
      </c>
      <c r="D12" s="5">
        <v>0</v>
      </c>
      <c r="E12" s="5">
        <v>422.32500000000005</v>
      </c>
      <c r="F12" s="5">
        <f t="shared" si="6"/>
        <v>422.32500000000005</v>
      </c>
      <c r="G12" s="5">
        <v>294</v>
      </c>
      <c r="H12" s="5">
        <v>13736.655333333334</v>
      </c>
      <c r="I12" s="5">
        <v>541.4</v>
      </c>
      <c r="J12" s="5">
        <v>17595.431400000001</v>
      </c>
      <c r="K12" s="4">
        <f t="shared" si="7"/>
        <v>32167.486733333335</v>
      </c>
      <c r="L12" s="5">
        <v>62.72</v>
      </c>
      <c r="M12" s="5">
        <v>1996.2079333333336</v>
      </c>
      <c r="N12" s="4">
        <f t="shared" si="8"/>
        <v>2058.9279333333334</v>
      </c>
      <c r="O12" s="5">
        <v>1126.2</v>
      </c>
      <c r="P12" s="5">
        <v>385</v>
      </c>
      <c r="Q12" s="5">
        <f t="shared" si="9"/>
        <v>113981.27</v>
      </c>
      <c r="R12" s="4">
        <f t="shared" si="10"/>
        <v>36159.939666666665</v>
      </c>
      <c r="S12" s="5">
        <f t="shared" si="11"/>
        <v>21587.884333333339</v>
      </c>
      <c r="T12" s="5">
        <f t="shared" si="12"/>
        <v>14572.055333333334</v>
      </c>
      <c r="U12" s="5">
        <f t="shared" si="13"/>
        <v>36159.939666666673</v>
      </c>
      <c r="V12" s="61">
        <f t="shared" si="17"/>
        <v>57.12080353570088</v>
      </c>
      <c r="W12" s="61">
        <f t="shared" si="18"/>
        <v>42.879196464299113</v>
      </c>
      <c r="Y12" s="5">
        <f t="shared" si="1"/>
        <v>2352.9279333333334</v>
      </c>
      <c r="Z12" s="5">
        <f t="shared" si="2"/>
        <v>33807.011733333333</v>
      </c>
      <c r="AA12" s="5">
        <f t="shared" si="14"/>
        <v>36159.939666666665</v>
      </c>
      <c r="AE12" s="5">
        <v>6378</v>
      </c>
      <c r="AF12" s="5">
        <v>93756.599999999991</v>
      </c>
      <c r="AG12" s="5">
        <v>207737.87</v>
      </c>
      <c r="AH12" s="9">
        <f t="shared" si="3"/>
        <v>171577.93033333332</v>
      </c>
      <c r="AI12" s="16">
        <f t="shared" si="4"/>
        <v>5.7449728045729858</v>
      </c>
      <c r="AJ12" s="16">
        <f t="shared" si="16"/>
        <v>2.5928306535983432</v>
      </c>
      <c r="AL12" s="5"/>
    </row>
    <row r="13" spans="1:43" ht="14.45" x14ac:dyDescent="0.35">
      <c r="A13">
        <v>2</v>
      </c>
      <c r="B13">
        <v>6</v>
      </c>
      <c r="C13" s="5">
        <v>0</v>
      </c>
      <c r="D13" s="5">
        <v>0</v>
      </c>
      <c r="E13" s="5">
        <v>422.32500000000005</v>
      </c>
      <c r="F13" s="5">
        <f t="shared" si="6"/>
        <v>422.32500000000005</v>
      </c>
      <c r="G13" s="5">
        <v>294</v>
      </c>
      <c r="H13" s="5">
        <v>12591.804666666667</v>
      </c>
      <c r="I13" s="5">
        <v>541.4</v>
      </c>
      <c r="J13" s="5">
        <v>17595.431400000001</v>
      </c>
      <c r="K13" s="4">
        <f t="shared" si="7"/>
        <v>31022.636066666666</v>
      </c>
      <c r="L13" s="5">
        <v>62.72</v>
      </c>
      <c r="M13" s="5">
        <v>1996.2079333333336</v>
      </c>
      <c r="N13" s="4">
        <f t="shared" si="8"/>
        <v>2058.9279333333334</v>
      </c>
      <c r="O13" s="5">
        <v>1126.2</v>
      </c>
      <c r="P13" s="5">
        <v>385</v>
      </c>
      <c r="Q13" s="5">
        <f t="shared" si="9"/>
        <v>113587.91666666667</v>
      </c>
      <c r="R13" s="4">
        <f t="shared" si="10"/>
        <v>35015.089</v>
      </c>
      <c r="S13" s="5">
        <f t="shared" si="11"/>
        <v>21587.884333333339</v>
      </c>
      <c r="T13" s="5">
        <f t="shared" si="12"/>
        <v>13427.204666666667</v>
      </c>
      <c r="U13" s="5">
        <f t="shared" si="13"/>
        <v>35015.089000000007</v>
      </c>
      <c r="V13" s="61">
        <f t="shared" si="17"/>
        <v>59.129499679825365</v>
      </c>
      <c r="W13" s="61">
        <f t="shared" si="18"/>
        <v>40.870500320174635</v>
      </c>
      <c r="Y13" s="5">
        <f t="shared" si="1"/>
        <v>2352.9279333333334</v>
      </c>
      <c r="Z13" s="5">
        <f t="shared" si="2"/>
        <v>32662.161066666671</v>
      </c>
      <c r="AA13" s="5">
        <f t="shared" si="14"/>
        <v>35015.089000000007</v>
      </c>
      <c r="AE13" s="5">
        <v>6848</v>
      </c>
      <c r="AF13" s="5">
        <v>100665.59999999999</v>
      </c>
      <c r="AG13" s="5">
        <v>214253.51666666666</v>
      </c>
      <c r="AH13" s="9">
        <f t="shared" si="3"/>
        <v>179238.42766666666</v>
      </c>
      <c r="AI13" s="16">
        <f t="shared" si="4"/>
        <v>6.1188911062504117</v>
      </c>
      <c r="AJ13" s="16">
        <f t="shared" si="16"/>
        <v>2.8749205806673794</v>
      </c>
      <c r="AL13" s="5"/>
    </row>
    <row r="14" spans="1:43" ht="14.45" x14ac:dyDescent="0.35">
      <c r="A14">
        <v>3</v>
      </c>
      <c r="B14">
        <v>1</v>
      </c>
      <c r="C14" s="5">
        <v>1978.3945555555556</v>
      </c>
      <c r="D14" s="5">
        <v>1382.2123333333336</v>
      </c>
      <c r="E14" s="5">
        <f>188.16+789.58</f>
        <v>977.74</v>
      </c>
      <c r="F14" s="5">
        <f>SUM(C14:E14)</f>
        <v>4338.3468888888892</v>
      </c>
      <c r="G14" s="5">
        <v>183.75</v>
      </c>
      <c r="H14" s="5">
        <v>14747.899999999998</v>
      </c>
      <c r="I14" s="5">
        <v>1993.2</v>
      </c>
      <c r="J14" s="5">
        <v>19566.079519999999</v>
      </c>
      <c r="K14" s="4">
        <f>SUM(G14:J14)</f>
        <v>36490.929519999998</v>
      </c>
      <c r="L14" s="5">
        <v>47.04</v>
      </c>
      <c r="M14" s="5">
        <v>2293.0999466666672</v>
      </c>
      <c r="N14" s="4">
        <f>SUM(L14:M14)</f>
        <v>2340.1399466666671</v>
      </c>
      <c r="O14" s="5">
        <v>1126.2</v>
      </c>
      <c r="P14" s="5">
        <v>385</v>
      </c>
      <c r="Q14" s="5">
        <f t="shared" si="9"/>
        <v>123358.83666666667</v>
      </c>
      <c r="R14" s="4">
        <f>(F14+K14+N14+O14+P14)</f>
        <v>44680.616355555554</v>
      </c>
      <c r="S14" s="5">
        <f t="shared" si="11"/>
        <v>27755.766355555559</v>
      </c>
      <c r="T14" s="5">
        <f t="shared" si="12"/>
        <v>16924.849999999999</v>
      </c>
      <c r="U14" s="5">
        <f t="shared" si="13"/>
        <v>44680.616355555554</v>
      </c>
      <c r="V14" s="60">
        <f>(V2-V7)/V7</f>
        <v>0.49172736047845189</v>
      </c>
      <c r="W14" s="60">
        <f>(W2-W7)/W7</f>
        <v>0.27004025811082033</v>
      </c>
      <c r="Y14" s="5">
        <f t="shared" si="1"/>
        <v>2523.8899466666671</v>
      </c>
      <c r="Z14" s="5">
        <f t="shared" si="2"/>
        <v>42156.726408888884</v>
      </c>
      <c r="AA14" s="5">
        <f t="shared" si="14"/>
        <v>44680.616355555554</v>
      </c>
      <c r="AE14" s="5">
        <v>6975</v>
      </c>
      <c r="AF14" s="5">
        <v>102532.5</v>
      </c>
      <c r="AG14" s="5">
        <v>225891.33666666667</v>
      </c>
      <c r="AH14" s="9">
        <f t="shared" si="3"/>
        <v>181210.72031111113</v>
      </c>
      <c r="AI14" s="16">
        <f t="shared" si="4"/>
        <v>5.0556898067181546</v>
      </c>
      <c r="AJ14" s="16">
        <f t="shared" si="16"/>
        <v>2.2947870545042557</v>
      </c>
      <c r="AL14" s="5"/>
    </row>
    <row r="15" spans="1:43" ht="14.45" x14ac:dyDescent="0.35">
      <c r="A15">
        <v>3</v>
      </c>
      <c r="B15">
        <v>2</v>
      </c>
      <c r="C15" s="5">
        <v>1978.3945555555556</v>
      </c>
      <c r="D15" s="5">
        <v>1382.2123333333336</v>
      </c>
      <c r="E15" s="5">
        <f>188.16+789.58</f>
        <v>977.74</v>
      </c>
      <c r="F15" s="5">
        <f t="shared" si="6"/>
        <v>4338.3468888888892</v>
      </c>
      <c r="G15" s="5">
        <v>183.75</v>
      </c>
      <c r="H15" s="5">
        <v>14747.899999999998</v>
      </c>
      <c r="I15" s="5">
        <v>1993.2</v>
      </c>
      <c r="J15" s="5">
        <v>19566.079520000003</v>
      </c>
      <c r="K15" s="4">
        <f t="shared" si="7"/>
        <v>36490.929520000005</v>
      </c>
      <c r="L15" s="5">
        <v>47.04</v>
      </c>
      <c r="M15" s="5">
        <v>2293.0999466666672</v>
      </c>
      <c r="N15" s="4">
        <f t="shared" si="8"/>
        <v>2340.1399466666671</v>
      </c>
      <c r="O15" s="5">
        <v>1126.2</v>
      </c>
      <c r="P15" s="5">
        <v>385</v>
      </c>
      <c r="Q15" s="5">
        <f t="shared" si="9"/>
        <v>125388.56999999999</v>
      </c>
      <c r="R15" s="4">
        <f t="shared" si="10"/>
        <v>44680.616355555561</v>
      </c>
      <c r="S15" s="5">
        <f t="shared" si="11"/>
        <v>27755.766355555559</v>
      </c>
      <c r="T15" s="5">
        <f t="shared" si="12"/>
        <v>16924.849999999999</v>
      </c>
      <c r="U15" s="5">
        <f t="shared" si="13"/>
        <v>44680.616355555554</v>
      </c>
      <c r="V15" s="17">
        <f>(V2-V6)/V6</f>
        <v>0.49172736047845189</v>
      </c>
      <c r="W15" s="17">
        <f>(W2-W6)/W6</f>
        <v>0.16942105095390605</v>
      </c>
      <c r="Y15" s="5">
        <f t="shared" si="1"/>
        <v>2523.8899466666671</v>
      </c>
      <c r="Z15" s="5">
        <f t="shared" si="2"/>
        <v>42156.726408888891</v>
      </c>
      <c r="AA15" s="5">
        <f t="shared" si="14"/>
        <v>44680.616355555561</v>
      </c>
      <c r="AE15" s="5">
        <v>7073</v>
      </c>
      <c r="AF15" s="5">
        <v>103973.09999999999</v>
      </c>
      <c r="AG15" s="5">
        <v>229361.66999999998</v>
      </c>
      <c r="AH15" s="9">
        <f t="shared" si="3"/>
        <v>184681.05364444444</v>
      </c>
      <c r="AI15" s="16">
        <f t="shared" si="4"/>
        <v>5.1333595797964264</v>
      </c>
      <c r="AJ15" s="16">
        <f t="shared" si="16"/>
        <v>2.3270292238722003</v>
      </c>
      <c r="AL15" s="5"/>
    </row>
    <row r="16" spans="1:43" ht="14.45" x14ac:dyDescent="0.35">
      <c r="A16">
        <v>3</v>
      </c>
      <c r="B16">
        <v>3</v>
      </c>
      <c r="C16" s="5">
        <v>1310.0999999999999</v>
      </c>
      <c r="D16" s="5">
        <v>0</v>
      </c>
      <c r="E16" s="5">
        <v>422.32500000000005</v>
      </c>
      <c r="F16" s="5">
        <f t="shared" si="6"/>
        <v>1732.425</v>
      </c>
      <c r="G16" s="5">
        <v>294</v>
      </c>
      <c r="H16" s="5">
        <v>13474.3</v>
      </c>
      <c r="I16" s="5">
        <v>351.39999999999992</v>
      </c>
      <c r="J16" s="5">
        <v>17026.503119999998</v>
      </c>
      <c r="K16" s="4">
        <f t="shared" si="7"/>
        <v>31146.203119999998</v>
      </c>
      <c r="L16" s="5">
        <v>62.72</v>
      </c>
      <c r="M16" s="5">
        <v>1932.99368</v>
      </c>
      <c r="N16" s="4">
        <f t="shared" si="8"/>
        <v>1995.7136800000001</v>
      </c>
      <c r="O16" s="5">
        <v>1126.2</v>
      </c>
      <c r="P16" s="5">
        <v>385</v>
      </c>
      <c r="Q16" s="5">
        <f t="shared" si="9"/>
        <v>129464.66666666666</v>
      </c>
      <c r="R16" s="4">
        <f t="shared" si="10"/>
        <v>36385.541799999999</v>
      </c>
      <c r="S16" s="5">
        <f t="shared" si="11"/>
        <v>22265.841799999998</v>
      </c>
      <c r="T16" s="5">
        <f t="shared" si="12"/>
        <v>14119.699999999999</v>
      </c>
      <c r="U16" s="5">
        <f t="shared" si="13"/>
        <v>36385.541799999999</v>
      </c>
      <c r="V16" s="17">
        <f>(V2-V5)/V5</f>
        <v>0.31360716312905146</v>
      </c>
      <c r="W16" s="17">
        <f>(W2-W5)/W5</f>
        <v>0.19951877077471525</v>
      </c>
      <c r="X16" s="17">
        <f>AVERAGE(W14:W16)</f>
        <v>0.21299335994648053</v>
      </c>
      <c r="Y16" s="5">
        <f t="shared" si="1"/>
        <v>2289.7136799999998</v>
      </c>
      <c r="Z16" s="5">
        <f t="shared" si="2"/>
        <v>34095.828119999991</v>
      </c>
      <c r="AA16" s="5">
        <f t="shared" si="14"/>
        <v>36385.541799999992</v>
      </c>
      <c r="AE16" s="5">
        <v>6940</v>
      </c>
      <c r="AF16" s="5">
        <v>102018</v>
      </c>
      <c r="AG16" s="5">
        <v>231482.66666666666</v>
      </c>
      <c r="AH16" s="9">
        <f t="shared" si="3"/>
        <v>195097.12486666665</v>
      </c>
      <c r="AI16" s="16">
        <f t="shared" si="4"/>
        <v>6.3619409033141476</v>
      </c>
      <c r="AJ16" s="16">
        <f t="shared" si="16"/>
        <v>2.8038059886743261</v>
      </c>
      <c r="AL16" s="5"/>
    </row>
    <row r="17" spans="1:38" ht="14.45" x14ac:dyDescent="0.35">
      <c r="A17">
        <v>3</v>
      </c>
      <c r="B17">
        <v>4</v>
      </c>
      <c r="C17" s="5">
        <v>1310.0999999999999</v>
      </c>
      <c r="D17" s="5">
        <v>0</v>
      </c>
      <c r="E17" s="5">
        <v>422.32500000000005</v>
      </c>
      <c r="F17" s="5">
        <f t="shared" si="6"/>
        <v>1732.425</v>
      </c>
      <c r="G17" s="5">
        <v>294</v>
      </c>
      <c r="H17" s="5">
        <v>13474.3</v>
      </c>
      <c r="I17" s="5">
        <v>341.39999999999992</v>
      </c>
      <c r="J17" s="5">
        <v>15529.459440000001</v>
      </c>
      <c r="K17" s="4">
        <f t="shared" si="7"/>
        <v>29639.159439999999</v>
      </c>
      <c r="L17" s="5">
        <v>62.72</v>
      </c>
      <c r="M17" s="5">
        <v>1766.6554933333332</v>
      </c>
      <c r="N17" s="4">
        <f t="shared" si="8"/>
        <v>1829.3754933333332</v>
      </c>
      <c r="O17" s="5">
        <v>1126.2</v>
      </c>
      <c r="P17" s="5">
        <v>385</v>
      </c>
      <c r="Q17" s="5">
        <f t="shared" si="9"/>
        <v>129399.43333333332</v>
      </c>
      <c r="R17" s="4">
        <f t="shared" si="10"/>
        <v>34712.159933333329</v>
      </c>
      <c r="S17" s="5">
        <f t="shared" si="11"/>
        <v>20602.459933333335</v>
      </c>
      <c r="T17" s="5">
        <f t="shared" si="12"/>
        <v>14109.699999999999</v>
      </c>
      <c r="U17" s="5">
        <f t="shared" si="13"/>
        <v>34712.159933333336</v>
      </c>
      <c r="V17" s="17">
        <f>(V2-V4)/V2</f>
        <v>0.19874889919385264</v>
      </c>
      <c r="W17" s="17">
        <f>(W2-W4)/W2</f>
        <v>0.16574149844754901</v>
      </c>
      <c r="Y17" s="5">
        <f t="shared" si="1"/>
        <v>2123.375493333333</v>
      </c>
      <c r="Z17" s="5">
        <f t="shared" si="2"/>
        <v>32588.784439999999</v>
      </c>
      <c r="AA17" s="5">
        <f t="shared" si="14"/>
        <v>34712.159933333329</v>
      </c>
      <c r="AE17" s="5">
        <v>7042</v>
      </c>
      <c r="AF17" s="5">
        <v>103517.4</v>
      </c>
      <c r="AG17" s="5">
        <v>232916.83333333331</v>
      </c>
      <c r="AH17" s="9">
        <f t="shared" si="3"/>
        <v>198204.67339999997</v>
      </c>
      <c r="AI17" s="16">
        <f t="shared" si="4"/>
        <v>6.709949302511375</v>
      </c>
      <c r="AJ17" s="16">
        <f t="shared" si="16"/>
        <v>2.9821653333820493</v>
      </c>
      <c r="AL17" s="5"/>
    </row>
    <row r="18" spans="1:38" ht="14.45" x14ac:dyDescent="0.35">
      <c r="A18">
        <v>3</v>
      </c>
      <c r="B18">
        <v>5</v>
      </c>
      <c r="C18" s="5">
        <v>0</v>
      </c>
      <c r="D18" s="5">
        <v>0</v>
      </c>
      <c r="E18" s="5">
        <v>422.32500000000005</v>
      </c>
      <c r="F18" s="5">
        <f t="shared" si="6"/>
        <v>422.32500000000005</v>
      </c>
      <c r="G18" s="5">
        <v>294</v>
      </c>
      <c r="H18" s="5">
        <v>13549.258666666667</v>
      </c>
      <c r="I18" s="5">
        <v>541.4</v>
      </c>
      <c r="J18" s="5">
        <v>14060.84064</v>
      </c>
      <c r="K18" s="4">
        <f t="shared" si="7"/>
        <v>28445.499306666665</v>
      </c>
      <c r="L18" s="5">
        <v>62.72</v>
      </c>
      <c r="M18" s="5">
        <v>1603.4756266666666</v>
      </c>
      <c r="N18" s="4">
        <f t="shared" si="8"/>
        <v>1666.1956266666666</v>
      </c>
      <c r="O18" s="5">
        <v>1126.2</v>
      </c>
      <c r="P18" s="5">
        <v>385</v>
      </c>
      <c r="Q18" s="5">
        <f t="shared" si="9"/>
        <v>133740.23666666669</v>
      </c>
      <c r="R18" s="4">
        <f t="shared" si="10"/>
        <v>32045.219933333334</v>
      </c>
      <c r="S18" s="5">
        <f t="shared" si="11"/>
        <v>17660.561266666668</v>
      </c>
      <c r="T18" s="5">
        <f t="shared" si="12"/>
        <v>14384.658666666666</v>
      </c>
      <c r="U18" s="5">
        <f t="shared" si="13"/>
        <v>32045.219933333334</v>
      </c>
      <c r="V18" s="17"/>
      <c r="Y18" s="5">
        <f t="shared" si="1"/>
        <v>1960.1956266666666</v>
      </c>
      <c r="Z18" s="5">
        <f t="shared" si="2"/>
        <v>30085.02430666667</v>
      </c>
      <c r="AA18" s="5">
        <f t="shared" si="14"/>
        <v>32045.219933333337</v>
      </c>
      <c r="AE18" s="5">
        <v>7101</v>
      </c>
      <c r="AF18" s="5">
        <v>104384.7</v>
      </c>
      <c r="AG18" s="5">
        <v>238124.93666666668</v>
      </c>
      <c r="AH18" s="9">
        <f t="shared" si="3"/>
        <v>206079.71673333333</v>
      </c>
      <c r="AI18" s="16">
        <f t="shared" si="4"/>
        <v>7.4309034908189187</v>
      </c>
      <c r="AJ18" s="16">
        <f t="shared" si="16"/>
        <v>3.2574187419266036</v>
      </c>
      <c r="AL18" s="5"/>
    </row>
    <row r="19" spans="1:38" ht="14.45" x14ac:dyDescent="0.35">
      <c r="A19">
        <v>3</v>
      </c>
      <c r="B19">
        <v>6</v>
      </c>
      <c r="C19" s="5">
        <v>0</v>
      </c>
      <c r="D19" s="5">
        <v>0</v>
      </c>
      <c r="E19" s="5">
        <v>422.32500000000005</v>
      </c>
      <c r="F19" s="5">
        <f t="shared" si="6"/>
        <v>422.32500000000005</v>
      </c>
      <c r="G19" s="5">
        <v>294</v>
      </c>
      <c r="H19" s="5">
        <v>12281.599999999999</v>
      </c>
      <c r="I19" s="5">
        <v>541.4</v>
      </c>
      <c r="J19" s="5">
        <v>14060.84064</v>
      </c>
      <c r="K19" s="4">
        <f t="shared" si="7"/>
        <v>27177.840639999999</v>
      </c>
      <c r="L19" s="5">
        <v>62.72</v>
      </c>
      <c r="M19" s="5">
        <v>1603.4756266666666</v>
      </c>
      <c r="N19" s="4">
        <f t="shared" si="8"/>
        <v>1666.1956266666666</v>
      </c>
      <c r="O19" s="5">
        <v>1126.2</v>
      </c>
      <c r="P19" s="5">
        <v>385</v>
      </c>
      <c r="Q19" s="5">
        <f t="shared" si="9"/>
        <v>134965</v>
      </c>
      <c r="R19" s="4">
        <f t="shared" si="10"/>
        <v>30777.561266666668</v>
      </c>
      <c r="S19" s="5">
        <f t="shared" si="11"/>
        <v>17660.561266666668</v>
      </c>
      <c r="T19" s="5">
        <f t="shared" si="12"/>
        <v>13116.999999999998</v>
      </c>
      <c r="U19" s="5">
        <f t="shared" si="13"/>
        <v>30777.561266666664</v>
      </c>
      <c r="Y19" s="5">
        <f t="shared" si="1"/>
        <v>1960.1956266666666</v>
      </c>
      <c r="Z19" s="5">
        <f t="shared" si="2"/>
        <v>28817.36564</v>
      </c>
      <c r="AA19" s="5">
        <f t="shared" si="14"/>
        <v>30777.561266666668</v>
      </c>
      <c r="AE19" s="5">
        <v>7285</v>
      </c>
      <c r="AF19" s="5">
        <v>107089.5</v>
      </c>
      <c r="AG19" s="5">
        <v>242054.5</v>
      </c>
      <c r="AH19" s="9">
        <f t="shared" si="3"/>
        <v>211276.93873333334</v>
      </c>
      <c r="AI19" s="16">
        <f t="shared" si="4"/>
        <v>7.8646419676582608</v>
      </c>
      <c r="AJ19" s="16">
        <f t="shared" si="16"/>
        <v>3.4794667151221699</v>
      </c>
      <c r="AL19" s="5"/>
    </row>
    <row r="20" spans="1:38" thickBot="1" x14ac:dyDescent="0.4">
      <c r="R20" s="5">
        <f>AVERAGE(R2:R19)</f>
        <v>38482.683024691352</v>
      </c>
      <c r="S20" s="5">
        <f>AVERAGE(S2:S19)</f>
        <v>23502.986950617291</v>
      </c>
      <c r="T20" s="5">
        <f>AVERAGE(T2:T19)</f>
        <v>14979.696074074076</v>
      </c>
      <c r="U20">
        <f>(U2+U8+U14)/3</f>
        <v>45684.993340740737</v>
      </c>
      <c r="V20" s="5"/>
    </row>
    <row r="21" spans="1:38" ht="27.95" customHeight="1" x14ac:dyDescent="0.25">
      <c r="C21" s="70"/>
      <c r="D21" s="70" t="s">
        <v>126</v>
      </c>
      <c r="E21" s="70" t="s">
        <v>127</v>
      </c>
      <c r="F21" s="70" t="s">
        <v>128</v>
      </c>
      <c r="G21" s="39" t="s">
        <v>129</v>
      </c>
      <c r="H21" s="70" t="s">
        <v>14</v>
      </c>
      <c r="I21" s="70" t="s">
        <v>130</v>
      </c>
      <c r="J21" s="70"/>
      <c r="K21" s="70" t="s">
        <v>126</v>
      </c>
      <c r="L21" s="70" t="s">
        <v>127</v>
      </c>
      <c r="M21" s="70" t="s">
        <v>128</v>
      </c>
      <c r="N21" s="39" t="s">
        <v>129</v>
      </c>
      <c r="O21" s="70" t="s">
        <v>14</v>
      </c>
      <c r="P21" s="70" t="s">
        <v>130</v>
      </c>
      <c r="R21" s="59">
        <f>(S20*100)/R20</f>
        <v>61.074190007846518</v>
      </c>
      <c r="V21" s="5"/>
    </row>
    <row r="22" spans="1:38" ht="30.75" thickBot="1" x14ac:dyDescent="0.3">
      <c r="C22" s="71"/>
      <c r="D22" s="71"/>
      <c r="E22" s="71"/>
      <c r="F22" s="71"/>
      <c r="G22" s="42" t="s">
        <v>125</v>
      </c>
      <c r="H22" s="71"/>
      <c r="I22" s="71"/>
      <c r="J22" s="71"/>
      <c r="K22" s="71"/>
      <c r="L22" s="71"/>
      <c r="M22" s="71"/>
      <c r="N22" s="42" t="s">
        <v>125</v>
      </c>
      <c r="O22" s="71"/>
      <c r="P22" s="71"/>
    </row>
    <row r="23" spans="1:38" thickBot="1" x14ac:dyDescent="0.4">
      <c r="C23" s="65" t="s">
        <v>153</v>
      </c>
      <c r="D23" s="46">
        <f>(F2+F8+F14)/3</f>
        <v>4337.484851851852</v>
      </c>
      <c r="E23" s="46">
        <f>(K2+K8+K14)/3</f>
        <v>37395.644640000006</v>
      </c>
      <c r="F23" s="46">
        <f>(N2+N8+N14)/3</f>
        <v>2440.6638488888893</v>
      </c>
      <c r="G23" s="46">
        <f>(O2+O8+O14)/3</f>
        <v>1126.2</v>
      </c>
      <c r="H23" s="46">
        <f>(P2+P8+P14)/3</f>
        <v>385</v>
      </c>
      <c r="I23" s="46">
        <f>SUM(D23:H23)</f>
        <v>45684.993340740737</v>
      </c>
      <c r="J23" s="65" t="s">
        <v>153</v>
      </c>
      <c r="K23" s="5">
        <f t="shared" ref="K23:K28" si="19">(D23*100)/I23</f>
        <v>9.4943318027887109</v>
      </c>
      <c r="L23" s="5">
        <f t="shared" ref="L23:L28" si="20">(E23*100)/I23</f>
        <v>81.855423204475997</v>
      </c>
      <c r="M23" s="5">
        <f t="shared" ref="M23:M28" si="21">(F23*100)/I23</f>
        <v>5.3423754069202545</v>
      </c>
      <c r="N23" s="5">
        <f t="shared" ref="N23:N28" si="22">(G23*100)/I23</f>
        <v>2.4651420907523325</v>
      </c>
      <c r="O23" s="5">
        <f t="shared" ref="O23:O28" si="23">(H23*100)/I23</f>
        <v>0.84272749506273126</v>
      </c>
      <c r="P23" s="47">
        <f>SUM(K23:N23)</f>
        <v>99.157272504937296</v>
      </c>
    </row>
    <row r="24" spans="1:38" thickBot="1" x14ac:dyDescent="0.4">
      <c r="C24" s="67" t="s">
        <v>154</v>
      </c>
      <c r="D24" s="46">
        <f t="shared" ref="D24:D28" si="24">(F3+F9+F15)/3</f>
        <v>4337.484851851852</v>
      </c>
      <c r="E24" s="46">
        <f t="shared" ref="E24:E27" si="25">(K3+K9+K15)/3</f>
        <v>37395.644640000006</v>
      </c>
      <c r="F24" s="46">
        <f t="shared" ref="F24:H28" si="26">(N3+N9+N15)/3</f>
        <v>2440.6638488888893</v>
      </c>
      <c r="G24" s="46">
        <f t="shared" si="26"/>
        <v>1126.2</v>
      </c>
      <c r="H24" s="46">
        <f t="shared" si="26"/>
        <v>385</v>
      </c>
      <c r="I24" s="46">
        <f t="shared" ref="I24:I28" si="27">SUM(D24:H24)</f>
        <v>45684.993340740737</v>
      </c>
      <c r="J24" s="67" t="s">
        <v>154</v>
      </c>
      <c r="K24" s="5">
        <f t="shared" si="19"/>
        <v>9.4943318027887109</v>
      </c>
      <c r="L24" s="5">
        <f t="shared" si="20"/>
        <v>81.855423204475997</v>
      </c>
      <c r="M24" s="5">
        <f t="shared" si="21"/>
        <v>5.3423754069202545</v>
      </c>
      <c r="N24" s="5">
        <f t="shared" si="22"/>
        <v>2.4651420907523325</v>
      </c>
      <c r="O24" s="5">
        <f t="shared" si="23"/>
        <v>0.84272749506273126</v>
      </c>
      <c r="P24" s="47">
        <f t="shared" ref="P24:P28" si="28">SUM(K24:N24)</f>
        <v>99.157272504937296</v>
      </c>
    </row>
    <row r="25" spans="1:38" thickBot="1" x14ac:dyDescent="0.4">
      <c r="C25" s="67" t="s">
        <v>155</v>
      </c>
      <c r="D25" s="46">
        <f t="shared" si="24"/>
        <v>1732.425</v>
      </c>
      <c r="E25" s="46">
        <f t="shared" si="25"/>
        <v>31846.63236</v>
      </c>
      <c r="F25" s="46">
        <f t="shared" si="26"/>
        <v>2073.5391511111111</v>
      </c>
      <c r="G25" s="46">
        <f t="shared" si="26"/>
        <v>1126.2</v>
      </c>
      <c r="H25" s="46">
        <f t="shared" si="26"/>
        <v>385</v>
      </c>
      <c r="I25" s="46">
        <f t="shared" si="27"/>
        <v>37163.796511111104</v>
      </c>
      <c r="J25" s="67" t="s">
        <v>155</v>
      </c>
      <c r="K25" s="5">
        <f t="shared" si="19"/>
        <v>4.661593170337281</v>
      </c>
      <c r="L25" s="5">
        <f t="shared" si="20"/>
        <v>85.692623869788449</v>
      </c>
      <c r="M25" s="5">
        <f t="shared" si="21"/>
        <v>5.5794599738785333</v>
      </c>
      <c r="N25" s="5">
        <f t="shared" si="22"/>
        <v>3.0303685460749215</v>
      </c>
      <c r="O25" s="5">
        <f t="shared" si="23"/>
        <v>1.0359544399208354</v>
      </c>
      <c r="P25" s="47">
        <f t="shared" si="28"/>
        <v>98.964045560079185</v>
      </c>
      <c r="Q25" s="17">
        <f>(I23-I25)/I23</f>
        <v>0.18652069764078616</v>
      </c>
      <c r="R25" s="17">
        <f>(I23-I25)/I25</f>
        <v>0.22928757634010816</v>
      </c>
    </row>
    <row r="26" spans="1:38" thickBot="1" x14ac:dyDescent="0.4">
      <c r="C26" s="67" t="s">
        <v>156</v>
      </c>
      <c r="D26" s="46">
        <f t="shared" si="24"/>
        <v>1732.425</v>
      </c>
      <c r="E26" s="46">
        <f t="shared" si="25"/>
        <v>30801.564759999997</v>
      </c>
      <c r="F26" s="46">
        <f t="shared" si="26"/>
        <v>1958.5316399999999</v>
      </c>
      <c r="G26" s="46">
        <f t="shared" si="26"/>
        <v>1126.2</v>
      </c>
      <c r="H26" s="46">
        <f t="shared" si="26"/>
        <v>385</v>
      </c>
      <c r="I26" s="46">
        <f t="shared" si="27"/>
        <v>36003.721399999995</v>
      </c>
      <c r="J26" s="67" t="s">
        <v>156</v>
      </c>
      <c r="K26" s="5">
        <f t="shared" si="19"/>
        <v>4.8117942608010518</v>
      </c>
      <c r="L26" s="5">
        <f t="shared" si="20"/>
        <v>85.551058508079677</v>
      </c>
      <c r="M26" s="5">
        <f t="shared" si="21"/>
        <v>5.4398033421067415</v>
      </c>
      <c r="N26" s="5">
        <f t="shared" si="22"/>
        <v>3.1280099839901556</v>
      </c>
      <c r="O26" s="5">
        <f t="shared" si="23"/>
        <v>1.0693339050223849</v>
      </c>
      <c r="P26" s="47">
        <f t="shared" si="28"/>
        <v>98.930666094977624</v>
      </c>
      <c r="Q26" s="17">
        <f>(I23-I26)/I23</f>
        <v>0.21191361173094941</v>
      </c>
      <c r="R26" s="17">
        <f>(I23-I26)/I26</f>
        <v>0.26889642415521925</v>
      </c>
    </row>
    <row r="27" spans="1:38" thickBot="1" x14ac:dyDescent="0.4">
      <c r="C27" s="67" t="s">
        <v>157</v>
      </c>
      <c r="D27" s="46">
        <f t="shared" si="24"/>
        <v>422.32500000000005</v>
      </c>
      <c r="E27" s="46">
        <f t="shared" si="25"/>
        <v>29990.963533333332</v>
      </c>
      <c r="F27" s="46">
        <f t="shared" si="26"/>
        <v>1828.1153555555557</v>
      </c>
      <c r="G27" s="46">
        <f t="shared" si="26"/>
        <v>1126.2</v>
      </c>
      <c r="H27" s="46">
        <f t="shared" si="26"/>
        <v>385</v>
      </c>
      <c r="I27" s="46">
        <f t="shared" si="27"/>
        <v>33752.603888888887</v>
      </c>
      <c r="J27" s="67" t="s">
        <v>157</v>
      </c>
      <c r="K27" s="5">
        <f t="shared" si="19"/>
        <v>1.2512367975823826</v>
      </c>
      <c r="L27" s="5">
        <f t="shared" si="20"/>
        <v>88.85525878851125</v>
      </c>
      <c r="M27" s="5">
        <f t="shared" si="21"/>
        <v>5.4162202168863125</v>
      </c>
      <c r="N27" s="5">
        <f t="shared" si="22"/>
        <v>3.3366314602196865</v>
      </c>
      <c r="O27" s="5">
        <f t="shared" si="23"/>
        <v>1.1406527368003723</v>
      </c>
      <c r="P27" s="47">
        <f t="shared" si="28"/>
        <v>98.859347263199638</v>
      </c>
      <c r="Q27" s="17">
        <f>(I23-I27)/I23</f>
        <v>0.26118838111356019</v>
      </c>
      <c r="R27" s="17">
        <f>(I23-I27)/I27</f>
        <v>0.35352500480058979</v>
      </c>
    </row>
    <row r="28" spans="1:38" thickBot="1" x14ac:dyDescent="0.4">
      <c r="C28" s="67" t="s">
        <v>158</v>
      </c>
      <c r="D28" s="46">
        <f t="shared" si="24"/>
        <v>422.32500000000005</v>
      </c>
      <c r="E28" s="46">
        <f>(K7+K13+K19)/3</f>
        <v>28844.349311111113</v>
      </c>
      <c r="F28" s="46">
        <f>(N7+N13+N19)/3</f>
        <v>1828.1153555555557</v>
      </c>
      <c r="G28" s="46">
        <f>(O7+O13+O19)/3</f>
        <v>1126.2</v>
      </c>
      <c r="H28" s="46">
        <f t="shared" si="26"/>
        <v>385</v>
      </c>
      <c r="I28" s="46">
        <f t="shared" si="27"/>
        <v>32605.989666666672</v>
      </c>
      <c r="J28" s="67" t="s">
        <v>158</v>
      </c>
      <c r="K28" s="5">
        <f t="shared" si="19"/>
        <v>1.2952374834116624</v>
      </c>
      <c r="L28" s="5">
        <f t="shared" si="20"/>
        <v>88.463345557024724</v>
      </c>
      <c r="M28" s="5">
        <f t="shared" si="21"/>
        <v>5.6066856864168448</v>
      </c>
      <c r="N28" s="5">
        <f t="shared" si="22"/>
        <v>3.453966622431099</v>
      </c>
      <c r="O28" s="5">
        <f t="shared" si="23"/>
        <v>1.1807646507156573</v>
      </c>
      <c r="P28" s="47">
        <f t="shared" si="28"/>
        <v>98.819235349284327</v>
      </c>
      <c r="Q28" s="17">
        <f>(I23-I28)/I23</f>
        <v>0.28628664945892718</v>
      </c>
      <c r="R28" s="17">
        <f>(I23-I28)/I28</f>
        <v>0.40112273259550285</v>
      </c>
    </row>
    <row r="29" spans="1:38" ht="14.45" x14ac:dyDescent="0.35">
      <c r="D29" s="5">
        <f>AVERAGE(D23:D28)</f>
        <v>2164.0782839506173</v>
      </c>
      <c r="E29" s="5">
        <f t="shared" ref="E29:H29" si="29">AVERAGE(E23:E28)</f>
        <v>32712.466540740745</v>
      </c>
      <c r="F29" s="5">
        <f t="shared" si="29"/>
        <v>2094.9382000000001</v>
      </c>
      <c r="G29" s="5">
        <f t="shared" si="29"/>
        <v>1126.2</v>
      </c>
      <c r="H29" s="5">
        <f t="shared" si="29"/>
        <v>385</v>
      </c>
      <c r="I29" s="5">
        <f>AVERAGE(I23:I28)</f>
        <v>38482.68302469136</v>
      </c>
      <c r="K29" s="17">
        <f>(F23-F28)/F23</f>
        <v>0.250976181587725</v>
      </c>
      <c r="Q29" s="17">
        <f>AVERAGE(Q26:Q28)</f>
        <v>0.25312954743447896</v>
      </c>
    </row>
    <row r="30" spans="1:38" ht="14.45" x14ac:dyDescent="0.35">
      <c r="E30" s="55">
        <f>(E29*100)/I29</f>
        <v>85.005680398509867</v>
      </c>
      <c r="F30" s="55">
        <f>(I38*100)/I29</f>
        <v>46.079870406356328</v>
      </c>
      <c r="G30" s="55">
        <f>(G38*100)/I29</f>
        <v>35.761832749319112</v>
      </c>
      <c r="K30" s="57">
        <f>(F26-F23)/F24</f>
        <v>-0.19754142263727953</v>
      </c>
      <c r="L30" s="17">
        <f>(F23-F25)/F23</f>
        <v>0.15042001705597907</v>
      </c>
    </row>
    <row r="31" spans="1:38" thickBot="1" x14ac:dyDescent="0.4">
      <c r="B31" s="44"/>
      <c r="C31" t="str">
        <f>C1</f>
        <v>Seedbed Preparation</v>
      </c>
      <c r="D31" t="str">
        <f>D1</f>
        <v>Puddling</v>
      </c>
      <c r="E31" t="str">
        <f>E1</f>
        <v>Nursery Raising &amp; Transplanting /Sowing</v>
      </c>
      <c r="F31" t="str">
        <f>G1</f>
        <v>Seed</v>
      </c>
      <c r="G31" t="str">
        <f>H1</f>
        <v>Fertilizers</v>
      </c>
      <c r="H31" t="str">
        <f>I1</f>
        <v>Pesticides</v>
      </c>
      <c r="I31" t="str">
        <f>J1</f>
        <v>Irrigation(Diesel/electricity)</v>
      </c>
      <c r="J31" t="str">
        <f>L1</f>
        <v>Interculture/Weeding</v>
      </c>
      <c r="K31" t="str">
        <f>M1</f>
        <v>Inputs application</v>
      </c>
      <c r="L31" t="str">
        <f>O1</f>
        <v xml:space="preserve">Harvesting/Threshing </v>
      </c>
      <c r="M31" t="str">
        <f>P1</f>
        <v>Transportation</v>
      </c>
      <c r="P31" t="s">
        <v>131</v>
      </c>
      <c r="Q31" t="s">
        <v>3</v>
      </c>
      <c r="R31" t="s">
        <v>132</v>
      </c>
      <c r="S31" t="s">
        <v>6</v>
      </c>
      <c r="T31" t="s">
        <v>7</v>
      </c>
      <c r="U31" t="s">
        <v>8</v>
      </c>
      <c r="V31" t="s">
        <v>166</v>
      </c>
      <c r="W31" t="s">
        <v>133</v>
      </c>
      <c r="X31" t="s">
        <v>12</v>
      </c>
      <c r="Y31" t="s">
        <v>134</v>
      </c>
      <c r="Z31" t="s">
        <v>14</v>
      </c>
    </row>
    <row r="32" spans="1:38" thickBot="1" x14ac:dyDescent="0.4">
      <c r="B32" s="65" t="s">
        <v>153</v>
      </c>
      <c r="C32">
        <f>(C2+C8+C14)/3</f>
        <v>1977.8591851851852</v>
      </c>
      <c r="D32">
        <f>(D2+D8+D14)/3</f>
        <v>1381.885666666667</v>
      </c>
      <c r="E32">
        <f>(E2+E8+E14)/3</f>
        <v>977.74000000000012</v>
      </c>
      <c r="F32">
        <f>(G2+G8+G14)/3</f>
        <v>183.75</v>
      </c>
      <c r="G32">
        <f t="shared" ref="G32:I32" si="30">(H2+H8+H14)/3</f>
        <v>14747.9</v>
      </c>
      <c r="H32">
        <f t="shared" si="30"/>
        <v>1993.2</v>
      </c>
      <c r="I32">
        <f t="shared" si="30"/>
        <v>20470.794640000004</v>
      </c>
      <c r="J32">
        <f>(L2+L8+L14)/3</f>
        <v>47.04</v>
      </c>
      <c r="K32">
        <f>(M2+M8+M14)/3</f>
        <v>2393.6238488888894</v>
      </c>
      <c r="L32">
        <f>(O2+O8+O14)/3</f>
        <v>1126.2</v>
      </c>
      <c r="M32">
        <f>(P2+P8+P14)/3</f>
        <v>385</v>
      </c>
      <c r="N32">
        <f>SUM(D32:M32)</f>
        <v>43707.134155555563</v>
      </c>
      <c r="O32" s="65" t="s">
        <v>153</v>
      </c>
      <c r="P32">
        <f>(C32*100)/N32</f>
        <v>4.5252547974111037</v>
      </c>
      <c r="Q32">
        <f t="shared" ref="Q32:Q37" si="31">(D32*100)/N32</f>
        <v>3.1616936076121505</v>
      </c>
      <c r="R32">
        <f t="shared" ref="R32:R37" si="32">(E32*100)/N32</f>
        <v>2.2370261031532785</v>
      </c>
      <c r="S32">
        <f t="shared" ref="S32:S37" si="33">(F32*100)/N32</f>
        <v>0.42041191569784897</v>
      </c>
      <c r="T32">
        <f t="shared" ref="T32:T37" si="34">(G32*100)/N32</f>
        <v>33.742546348409832</v>
      </c>
      <c r="U32">
        <f t="shared" ref="U32:U37" si="35">(H32*100)/N32</f>
        <v>4.5603539067698096</v>
      </c>
      <c r="V32">
        <f t="shared" ref="V32:V37" si="36">(I32*100)/N32</f>
        <v>46.836277499100191</v>
      </c>
      <c r="W32">
        <f t="shared" ref="W32:W37" si="37">(J32*100)/N32</f>
        <v>0.10762545041864933</v>
      </c>
      <c r="X32">
        <f t="shared" ref="X32:X37" si="38">(K32*100)/N32</f>
        <v>5.4765060558989749</v>
      </c>
      <c r="Y32">
        <f t="shared" ref="Y32:Y37" si="39">(L32*100)/N32</f>
        <v>2.5766960514771022</v>
      </c>
      <c r="Z32">
        <f t="shared" ref="Z32:Z37" si="40">(M32*100)/N32</f>
        <v>0.88086306146215976</v>
      </c>
    </row>
    <row r="33" spans="2:26" thickBot="1" x14ac:dyDescent="0.4">
      <c r="B33" s="67" t="s">
        <v>154</v>
      </c>
      <c r="C33">
        <f t="shared" ref="C33:C37" si="41">(C3+C9+C15)/3</f>
        <v>1977.8591851851852</v>
      </c>
      <c r="D33">
        <f t="shared" ref="D33:E37" si="42">(D3+D9+D15)/3</f>
        <v>1381.885666666667</v>
      </c>
      <c r="E33">
        <f t="shared" si="42"/>
        <v>977.74000000000012</v>
      </c>
      <c r="F33">
        <f t="shared" ref="F33:I37" si="43">(G3+G9+G15)/3</f>
        <v>183.75</v>
      </c>
      <c r="G33">
        <f t="shared" si="43"/>
        <v>14747.9</v>
      </c>
      <c r="H33">
        <f t="shared" si="43"/>
        <v>1993.2</v>
      </c>
      <c r="I33">
        <f t="shared" si="43"/>
        <v>20470.794640000004</v>
      </c>
      <c r="J33">
        <f t="shared" ref="J33:K37" si="44">(L3+L9+L15)/3</f>
        <v>47.04</v>
      </c>
      <c r="K33">
        <f t="shared" si="44"/>
        <v>2393.6238488888894</v>
      </c>
      <c r="L33">
        <f t="shared" ref="L33:M37" si="45">(O3+O9+O15)/3</f>
        <v>1126.2</v>
      </c>
      <c r="M33">
        <f t="shared" si="45"/>
        <v>385</v>
      </c>
      <c r="N33">
        <f t="shared" ref="N33:N37" si="46">SUM(D33:M33)</f>
        <v>43707.134155555563</v>
      </c>
      <c r="O33" s="67" t="s">
        <v>154</v>
      </c>
      <c r="P33">
        <f t="shared" ref="P33:P37" si="47">(C33*100)/N33</f>
        <v>4.5252547974111037</v>
      </c>
      <c r="Q33">
        <f t="shared" si="31"/>
        <v>3.1616936076121505</v>
      </c>
      <c r="R33">
        <f t="shared" si="32"/>
        <v>2.2370261031532785</v>
      </c>
      <c r="S33">
        <f t="shared" si="33"/>
        <v>0.42041191569784897</v>
      </c>
      <c r="T33">
        <f t="shared" si="34"/>
        <v>33.742546348409832</v>
      </c>
      <c r="U33">
        <f t="shared" si="35"/>
        <v>4.5603539067698096</v>
      </c>
      <c r="V33">
        <f t="shared" si="36"/>
        <v>46.836277499100191</v>
      </c>
      <c r="W33">
        <f t="shared" si="37"/>
        <v>0.10762545041864933</v>
      </c>
      <c r="X33">
        <f t="shared" si="38"/>
        <v>5.4765060558989749</v>
      </c>
      <c r="Y33">
        <f t="shared" si="39"/>
        <v>2.5766960514771022</v>
      </c>
      <c r="Z33">
        <f t="shared" si="40"/>
        <v>0.88086306146215976</v>
      </c>
    </row>
    <row r="34" spans="2:26" thickBot="1" x14ac:dyDescent="0.4">
      <c r="B34" s="67" t="s">
        <v>155</v>
      </c>
      <c r="C34">
        <f t="shared" si="41"/>
        <v>1310.0999999999999</v>
      </c>
      <c r="D34">
        <f t="shared" si="42"/>
        <v>0</v>
      </c>
      <c r="E34">
        <f t="shared" si="42"/>
        <v>422.32500000000005</v>
      </c>
      <c r="F34">
        <f t="shared" si="43"/>
        <v>294</v>
      </c>
      <c r="G34">
        <f t="shared" si="43"/>
        <v>13474.299999999997</v>
      </c>
      <c r="H34">
        <f t="shared" si="43"/>
        <v>351.39999999999992</v>
      </c>
      <c r="I34">
        <f t="shared" si="43"/>
        <v>17726.932359999995</v>
      </c>
      <c r="J34">
        <f t="shared" si="44"/>
        <v>62.72</v>
      </c>
      <c r="K34">
        <f t="shared" si="44"/>
        <v>2010.8191511111115</v>
      </c>
      <c r="L34">
        <f t="shared" si="45"/>
        <v>1126.2</v>
      </c>
      <c r="M34">
        <f t="shared" si="45"/>
        <v>385</v>
      </c>
      <c r="N34">
        <f t="shared" si="46"/>
        <v>35853.696511111106</v>
      </c>
      <c r="O34" s="67" t="s">
        <v>155</v>
      </c>
      <c r="P34">
        <f t="shared" si="47"/>
        <v>3.6540165379990825</v>
      </c>
      <c r="Q34">
        <f t="shared" si="31"/>
        <v>0</v>
      </c>
      <c r="R34">
        <f t="shared" si="32"/>
        <v>1.1779120177165583</v>
      </c>
      <c r="S34">
        <f t="shared" si="33"/>
        <v>0.81999913149509984</v>
      </c>
      <c r="T34">
        <f t="shared" si="34"/>
        <v>37.581341147974229</v>
      </c>
      <c r="U34">
        <f t="shared" si="35"/>
        <v>0.9800942000250954</v>
      </c>
      <c r="V34">
        <f t="shared" si="36"/>
        <v>49.442412038341423</v>
      </c>
      <c r="W34">
        <f t="shared" si="37"/>
        <v>0.17493314805228799</v>
      </c>
      <c r="X34">
        <f t="shared" si="38"/>
        <v>5.6084012160028083</v>
      </c>
      <c r="Y34">
        <f t="shared" si="39"/>
        <v>3.1410987139108215</v>
      </c>
      <c r="Z34">
        <f t="shared" si="40"/>
        <v>1.0738083864816785</v>
      </c>
    </row>
    <row r="35" spans="2:26" thickBot="1" x14ac:dyDescent="0.4">
      <c r="B35" s="67" t="s">
        <v>156</v>
      </c>
      <c r="C35">
        <f t="shared" si="41"/>
        <v>1310.0999999999999</v>
      </c>
      <c r="D35">
        <f t="shared" si="42"/>
        <v>0</v>
      </c>
      <c r="E35">
        <f t="shared" si="42"/>
        <v>422.32500000000005</v>
      </c>
      <c r="F35">
        <f t="shared" si="43"/>
        <v>294</v>
      </c>
      <c r="G35">
        <f t="shared" si="43"/>
        <v>13474.299999999997</v>
      </c>
      <c r="H35">
        <f t="shared" si="43"/>
        <v>341.39999999999992</v>
      </c>
      <c r="I35">
        <f t="shared" si="43"/>
        <v>16691.86476</v>
      </c>
      <c r="J35">
        <f t="shared" si="44"/>
        <v>62.72</v>
      </c>
      <c r="K35">
        <f t="shared" si="44"/>
        <v>1895.8116399999999</v>
      </c>
      <c r="L35">
        <f t="shared" si="45"/>
        <v>1126.2</v>
      </c>
      <c r="M35">
        <f t="shared" si="45"/>
        <v>385</v>
      </c>
      <c r="N35">
        <f t="shared" si="46"/>
        <v>34693.621399999996</v>
      </c>
      <c r="O35" s="67" t="s">
        <v>156</v>
      </c>
      <c r="P35">
        <f t="shared" si="47"/>
        <v>3.7761984685749757</v>
      </c>
      <c r="Q35">
        <f t="shared" si="31"/>
        <v>0</v>
      </c>
      <c r="R35">
        <f t="shared" si="32"/>
        <v>1.2172986934134242</v>
      </c>
      <c r="S35">
        <f t="shared" si="33"/>
        <v>0.84741802134267841</v>
      </c>
      <c r="T35">
        <f t="shared" si="34"/>
        <v>38.837974982917174</v>
      </c>
      <c r="U35">
        <f t="shared" si="35"/>
        <v>0.98404255947751818</v>
      </c>
      <c r="V35">
        <f t="shared" si="36"/>
        <v>48.112200705574082</v>
      </c>
      <c r="W35">
        <f t="shared" si="37"/>
        <v>0.18078251121977137</v>
      </c>
      <c r="X35">
        <f t="shared" si="38"/>
        <v>5.464438601385095</v>
      </c>
      <c r="Y35">
        <f t="shared" si="39"/>
        <v>3.2461298491024637</v>
      </c>
      <c r="Z35">
        <f t="shared" si="40"/>
        <v>1.109714075567793</v>
      </c>
    </row>
    <row r="36" spans="2:26" thickBot="1" x14ac:dyDescent="0.4">
      <c r="B36" s="67" t="s">
        <v>157</v>
      </c>
      <c r="C36">
        <f t="shared" si="41"/>
        <v>0</v>
      </c>
      <c r="D36">
        <f t="shared" si="42"/>
        <v>0</v>
      </c>
      <c r="E36">
        <f t="shared" si="42"/>
        <v>422.32500000000005</v>
      </c>
      <c r="F36">
        <f t="shared" si="43"/>
        <v>294</v>
      </c>
      <c r="G36">
        <f t="shared" si="43"/>
        <v>13637.445333333331</v>
      </c>
      <c r="H36">
        <f t="shared" si="43"/>
        <v>541.4</v>
      </c>
      <c r="I36">
        <f t="shared" si="43"/>
        <v>15518.118200000003</v>
      </c>
      <c r="J36">
        <f t="shared" si="44"/>
        <v>62.72</v>
      </c>
      <c r="K36">
        <f t="shared" si="44"/>
        <v>1765.3953555555556</v>
      </c>
      <c r="L36">
        <f t="shared" si="45"/>
        <v>1126.2</v>
      </c>
      <c r="M36">
        <f t="shared" si="45"/>
        <v>385</v>
      </c>
      <c r="N36">
        <f t="shared" si="46"/>
        <v>33752.603888888887</v>
      </c>
      <c r="O36" s="67" t="s">
        <v>157</v>
      </c>
      <c r="P36">
        <f t="shared" si="47"/>
        <v>0</v>
      </c>
      <c r="Q36">
        <f t="shared" si="31"/>
        <v>0</v>
      </c>
      <c r="R36">
        <f t="shared" si="32"/>
        <v>1.2512367975823826</v>
      </c>
      <c r="S36">
        <f t="shared" si="33"/>
        <v>0.87104390810210253</v>
      </c>
      <c r="T36">
        <f t="shared" si="34"/>
        <v>40.404128162161378</v>
      </c>
      <c r="U36">
        <f t="shared" si="35"/>
        <v>1.6040243940356405</v>
      </c>
      <c r="V36">
        <f t="shared" si="36"/>
        <v>45.976062324212137</v>
      </c>
      <c r="W36">
        <f t="shared" si="37"/>
        <v>0.1858227003951152</v>
      </c>
      <c r="X36">
        <f t="shared" si="38"/>
        <v>5.2303975164911973</v>
      </c>
      <c r="Y36">
        <f t="shared" si="39"/>
        <v>3.3366314602196865</v>
      </c>
      <c r="Z36">
        <f t="shared" si="40"/>
        <v>1.1406527368003723</v>
      </c>
    </row>
    <row r="37" spans="2:26" thickBot="1" x14ac:dyDescent="0.4">
      <c r="B37" s="67" t="s">
        <v>158</v>
      </c>
      <c r="C37">
        <f t="shared" si="41"/>
        <v>0</v>
      </c>
      <c r="D37">
        <f t="shared" si="42"/>
        <v>0</v>
      </c>
      <c r="E37">
        <f t="shared" si="42"/>
        <v>422.32500000000005</v>
      </c>
      <c r="F37">
        <f t="shared" si="43"/>
        <v>294</v>
      </c>
      <c r="G37">
        <f t="shared" si="43"/>
        <v>12490.831111111111</v>
      </c>
      <c r="H37">
        <f t="shared" si="43"/>
        <v>541.4</v>
      </c>
      <c r="I37">
        <f t="shared" si="43"/>
        <v>15518.118200000003</v>
      </c>
      <c r="J37">
        <f t="shared" si="44"/>
        <v>62.72</v>
      </c>
      <c r="K37">
        <f t="shared" si="44"/>
        <v>1765.3953555555556</v>
      </c>
      <c r="L37">
        <f t="shared" si="45"/>
        <v>1126.2</v>
      </c>
      <c r="M37">
        <f t="shared" si="45"/>
        <v>385</v>
      </c>
      <c r="N37">
        <f t="shared" si="46"/>
        <v>32605.989666666672</v>
      </c>
      <c r="O37" s="67" t="s">
        <v>158</v>
      </c>
      <c r="P37">
        <f t="shared" si="47"/>
        <v>0</v>
      </c>
      <c r="Q37">
        <f t="shared" si="31"/>
        <v>0</v>
      </c>
      <c r="R37">
        <f t="shared" si="32"/>
        <v>1.2952374834116624</v>
      </c>
      <c r="S37">
        <f t="shared" si="33"/>
        <v>0.90167482418286549</v>
      </c>
      <c r="T37">
        <f t="shared" si="34"/>
        <v>38.308394374180189</v>
      </c>
      <c r="U37">
        <f t="shared" si="35"/>
        <v>1.6604311218115761</v>
      </c>
      <c r="V37">
        <f t="shared" si="36"/>
        <v>47.592845236850096</v>
      </c>
      <c r="W37">
        <f t="shared" si="37"/>
        <v>0.19235729582567798</v>
      </c>
      <c r="X37">
        <f t="shared" si="38"/>
        <v>5.4143283905911668</v>
      </c>
      <c r="Y37">
        <f t="shared" si="39"/>
        <v>3.453966622431099</v>
      </c>
      <c r="Z37">
        <f t="shared" si="40"/>
        <v>1.1807646507156573</v>
      </c>
    </row>
    <row r="38" spans="2:26" ht="14.45" x14ac:dyDescent="0.35">
      <c r="C38" s="47"/>
      <c r="D38" s="47"/>
      <c r="E38" s="47"/>
      <c r="F38" s="47"/>
      <c r="G38" s="47">
        <f>AVERAGE(G32:G37)</f>
        <v>13762.11274074074</v>
      </c>
      <c r="H38" s="47"/>
      <c r="I38" s="47">
        <f>AVERAGE(I32:I37)</f>
        <v>17732.770466666665</v>
      </c>
      <c r="J38" s="47"/>
      <c r="K38" s="47"/>
      <c r="L38" s="47"/>
      <c r="M38" s="47"/>
      <c r="N38" s="47"/>
    </row>
    <row r="39" spans="2:26" ht="14.45" x14ac:dyDescent="0.35">
      <c r="C39" s="47">
        <f t="shared" ref="C39:N39" si="48">((C32-C34)/C32)*100</f>
        <v>33.761715201310629</v>
      </c>
      <c r="D39" s="47">
        <f t="shared" si="48"/>
        <v>100</v>
      </c>
      <c r="E39" s="47">
        <f t="shared" si="48"/>
        <v>56.806001595516186</v>
      </c>
      <c r="F39" s="47">
        <f t="shared" si="48"/>
        <v>-60</v>
      </c>
      <c r="G39" s="47">
        <f t="shared" si="48"/>
        <v>8.6358057757375768</v>
      </c>
      <c r="H39" s="47">
        <f t="shared" si="48"/>
        <v>82.37005819787278</v>
      </c>
      <c r="I39" s="47">
        <f>((I32-I34)/I32)*100</f>
        <v>13.403789780776229</v>
      </c>
      <c r="J39" s="47">
        <f t="shared" si="48"/>
        <v>-33.333333333333329</v>
      </c>
      <c r="K39" s="47">
        <f t="shared" si="48"/>
        <v>15.99268397812272</v>
      </c>
      <c r="L39" s="47">
        <f t="shared" si="48"/>
        <v>0</v>
      </c>
      <c r="M39" s="47">
        <f t="shared" si="48"/>
        <v>0</v>
      </c>
      <c r="N39" s="47">
        <f t="shared" si="48"/>
        <v>17.968319809058482</v>
      </c>
    </row>
    <row r="40" spans="2:26" ht="14.45" x14ac:dyDescent="0.35">
      <c r="C40" s="47">
        <f t="shared" ref="C40:N40" si="49">((C32-C35)/C32)*100</f>
        <v>33.761715201310629</v>
      </c>
      <c r="D40" s="47">
        <f t="shared" si="49"/>
        <v>100</v>
      </c>
      <c r="E40" s="47">
        <f t="shared" si="49"/>
        <v>56.806001595516186</v>
      </c>
      <c r="F40" s="47">
        <f t="shared" si="49"/>
        <v>-60</v>
      </c>
      <c r="G40" s="47">
        <f t="shared" si="49"/>
        <v>8.6358057757375768</v>
      </c>
      <c r="H40" s="47">
        <f t="shared" si="49"/>
        <v>82.871763997591813</v>
      </c>
      <c r="I40" s="47">
        <f t="shared" si="49"/>
        <v>18.460103510666663</v>
      </c>
      <c r="J40" s="47">
        <f t="shared" si="49"/>
        <v>-33.333333333333329</v>
      </c>
      <c r="K40" s="47">
        <f t="shared" si="49"/>
        <v>20.7974285149261</v>
      </c>
      <c r="L40" s="47">
        <f t="shared" si="49"/>
        <v>0</v>
      </c>
      <c r="M40" s="47">
        <f t="shared" si="49"/>
        <v>0</v>
      </c>
      <c r="N40" s="47">
        <f t="shared" si="49"/>
        <v>20.622520624381568</v>
      </c>
    </row>
    <row r="41" spans="2:26" ht="14.45" x14ac:dyDescent="0.35">
      <c r="C41" s="47">
        <f t="shared" ref="C41:N41" si="50">((C32-C36)/C32)*100</f>
        <v>100</v>
      </c>
      <c r="D41" s="47">
        <f t="shared" si="50"/>
        <v>100</v>
      </c>
      <c r="E41" s="47">
        <f t="shared" si="50"/>
        <v>56.806001595516186</v>
      </c>
      <c r="F41" s="47">
        <f t="shared" si="50"/>
        <v>-60</v>
      </c>
      <c r="G41" s="47">
        <f t="shared" si="50"/>
        <v>7.5295782224362009</v>
      </c>
      <c r="H41" s="47">
        <f t="shared" si="50"/>
        <v>72.837648003210916</v>
      </c>
      <c r="I41" s="47">
        <f t="shared" si="50"/>
        <v>24.193865099513303</v>
      </c>
      <c r="J41" s="47">
        <f t="shared" si="50"/>
        <v>-33.333333333333329</v>
      </c>
      <c r="K41" s="47">
        <f t="shared" si="50"/>
        <v>26.245915523650677</v>
      </c>
      <c r="L41" s="47">
        <f t="shared" si="50"/>
        <v>0</v>
      </c>
      <c r="M41" s="47">
        <f t="shared" si="50"/>
        <v>0</v>
      </c>
      <c r="N41" s="47">
        <f t="shared" si="50"/>
        <v>22.775527288607108</v>
      </c>
    </row>
    <row r="42" spans="2:26" ht="14.45" x14ac:dyDescent="0.35">
      <c r="C42" s="47">
        <f t="shared" ref="C42:N42" si="51">((C32-C37)/C32)*100</f>
        <v>100</v>
      </c>
      <c r="D42" s="47">
        <f t="shared" si="51"/>
        <v>100</v>
      </c>
      <c r="E42" s="47">
        <f t="shared" si="51"/>
        <v>56.806001595516186</v>
      </c>
      <c r="F42" s="47">
        <f t="shared" si="51"/>
        <v>-60</v>
      </c>
      <c r="G42" s="47">
        <f t="shared" si="51"/>
        <v>15.304340881677318</v>
      </c>
      <c r="H42" s="47">
        <f t="shared" si="51"/>
        <v>72.837648003210916</v>
      </c>
      <c r="I42" s="47">
        <f>((I32-I37)/I32)*100</f>
        <v>24.193865099513303</v>
      </c>
      <c r="J42" s="47">
        <f t="shared" si="51"/>
        <v>-33.333333333333329</v>
      </c>
      <c r="K42" s="47">
        <f t="shared" si="51"/>
        <v>26.245915523650677</v>
      </c>
      <c r="L42" s="47">
        <f t="shared" si="51"/>
        <v>0</v>
      </c>
      <c r="M42" s="47">
        <f t="shared" si="51"/>
        <v>0</v>
      </c>
      <c r="N42" s="47">
        <f t="shared" si="51"/>
        <v>25.39893018238039</v>
      </c>
    </row>
    <row r="43" spans="2:26" ht="14.45" x14ac:dyDescent="0.35">
      <c r="G43" s="47">
        <f>AVERAGE(G40:G42)</f>
        <v>10.489908293283698</v>
      </c>
      <c r="H43" s="47">
        <f>AVERAGE(H40:H42)</f>
        <v>76.18235333467122</v>
      </c>
      <c r="I43" s="47">
        <f>AVERAGE(I40:I42)</f>
        <v>22.282611236564424</v>
      </c>
    </row>
    <row r="44" spans="2:26" ht="14.45" x14ac:dyDescent="0.35">
      <c r="D44">
        <f>15518+422</f>
        <v>15940</v>
      </c>
      <c r="E44">
        <v>45685</v>
      </c>
      <c r="F44">
        <f>E44/D44</f>
        <v>2.8660602258469261</v>
      </c>
      <c r="G44">
        <f>(D44*100)/E44</f>
        <v>34.891102112290689</v>
      </c>
      <c r="J44">
        <f>AVERAGE(I35:I37)</f>
        <v>15909.367053333335</v>
      </c>
      <c r="N44" s="5">
        <f>SUM(G32:I32)</f>
        <v>37211.894639999999</v>
      </c>
    </row>
    <row r="45" spans="2:26" ht="14.45" x14ac:dyDescent="0.35">
      <c r="J45">
        <f>(I32-J44)/J44</f>
        <v>0.28671332878142108</v>
      </c>
      <c r="N45" s="5">
        <f t="shared" ref="N45:N48" si="52">SUM(G33:I33)</f>
        <v>37211.894639999999</v>
      </c>
    </row>
    <row r="46" spans="2:26" ht="14.45" x14ac:dyDescent="0.35">
      <c r="M46" s="17">
        <f>(N44-N46)/N44</f>
        <v>0.15208207845232163</v>
      </c>
      <c r="N46" s="5">
        <f t="shared" si="52"/>
        <v>31552.632359999992</v>
      </c>
    </row>
    <row r="47" spans="2:26" ht="14.45" x14ac:dyDescent="0.35">
      <c r="M47" s="17">
        <f>(N44-N47)/N44</f>
        <v>0.1801663136171881</v>
      </c>
      <c r="N47" s="5">
        <f t="shared" si="52"/>
        <v>30507.564759999997</v>
      </c>
    </row>
    <row r="48" spans="2:26" ht="14.45" x14ac:dyDescent="0.35">
      <c r="M48" s="17">
        <f>(N44-N48)/N44</f>
        <v>0.20194970396881312</v>
      </c>
      <c r="N48" s="5">
        <f t="shared" si="52"/>
        <v>29696.963533333335</v>
      </c>
    </row>
    <row r="49" spans="13:14" ht="14.45" x14ac:dyDescent="0.35">
      <c r="M49" s="17">
        <f>(N44-N49)/N44</f>
        <v>0.23276281448938571</v>
      </c>
      <c r="N49" s="5">
        <f>SUM(G37:I37)</f>
        <v>28550.349311111113</v>
      </c>
    </row>
    <row r="50" spans="13:14" ht="14.45" x14ac:dyDescent="0.35">
      <c r="N50" s="5"/>
    </row>
    <row r="51" spans="13:14" ht="14.45" x14ac:dyDescent="0.35">
      <c r="N51" s="5"/>
    </row>
    <row r="52" spans="13:14" ht="14.45" x14ac:dyDescent="0.35">
      <c r="N52" s="5"/>
    </row>
    <row r="53" spans="13:14" ht="14.45" x14ac:dyDescent="0.35">
      <c r="N53" s="5"/>
    </row>
    <row r="54" spans="13:14" ht="14.45" x14ac:dyDescent="0.35">
      <c r="N54" s="5"/>
    </row>
    <row r="55" spans="13:14" ht="14.45" x14ac:dyDescent="0.35">
      <c r="N55" s="5"/>
    </row>
    <row r="56" spans="13:14" ht="14.45" x14ac:dyDescent="0.35">
      <c r="N56" s="5"/>
    </row>
    <row r="57" spans="13:14" ht="14.45" x14ac:dyDescent="0.35">
      <c r="N57" s="5"/>
    </row>
    <row r="58" spans="13:14" ht="14.45" x14ac:dyDescent="0.35">
      <c r="N58" s="5"/>
    </row>
    <row r="59" spans="13:14" ht="14.45" x14ac:dyDescent="0.35">
      <c r="N59" s="5"/>
    </row>
    <row r="60" spans="13:14" x14ac:dyDescent="0.25">
      <c r="N60" s="5"/>
    </row>
    <row r="61" spans="13:14" x14ac:dyDescent="0.25">
      <c r="N61" s="5"/>
    </row>
    <row r="62" spans="13:14" x14ac:dyDescent="0.25">
      <c r="N62" s="5"/>
    </row>
    <row r="63" spans="13:14" x14ac:dyDescent="0.25">
      <c r="N63" s="5"/>
    </row>
    <row r="64" spans="13:14" x14ac:dyDescent="0.25">
      <c r="N64" s="5"/>
    </row>
    <row r="65" spans="14:14" x14ac:dyDescent="0.25">
      <c r="N65" s="5"/>
    </row>
    <row r="66" spans="14:14" x14ac:dyDescent="0.25">
      <c r="N66" s="5"/>
    </row>
    <row r="67" spans="14:14" x14ac:dyDescent="0.25">
      <c r="N67" s="5"/>
    </row>
    <row r="68" spans="14:14" x14ac:dyDescent="0.25">
      <c r="N68" s="5"/>
    </row>
    <row r="69" spans="14:14" x14ac:dyDescent="0.25">
      <c r="N69" s="5"/>
    </row>
    <row r="70" spans="14:14" x14ac:dyDescent="0.25">
      <c r="N70" s="5"/>
    </row>
    <row r="71" spans="14:14" x14ac:dyDescent="0.25">
      <c r="N71" s="5"/>
    </row>
    <row r="72" spans="14:14" x14ac:dyDescent="0.25">
      <c r="N72" s="5"/>
    </row>
    <row r="73" spans="14:14" x14ac:dyDescent="0.25">
      <c r="N73" s="5"/>
    </row>
    <row r="74" spans="14:14" x14ac:dyDescent="0.25">
      <c r="N74" s="5"/>
    </row>
    <row r="75" spans="14:14" x14ac:dyDescent="0.25">
      <c r="N75" s="5"/>
    </row>
    <row r="76" spans="14:14" x14ac:dyDescent="0.25">
      <c r="N76" s="5"/>
    </row>
    <row r="77" spans="14:14" x14ac:dyDescent="0.25">
      <c r="N77" s="5"/>
    </row>
    <row r="78" spans="14:14" x14ac:dyDescent="0.25">
      <c r="N78" s="5"/>
    </row>
    <row r="79" spans="14:14" x14ac:dyDescent="0.25">
      <c r="N79" s="5"/>
    </row>
    <row r="80" spans="14:14" x14ac:dyDescent="0.25">
      <c r="N80" s="5"/>
    </row>
    <row r="81" spans="14:14" x14ac:dyDescent="0.25">
      <c r="N81" s="5"/>
    </row>
    <row r="82" spans="14:14" x14ac:dyDescent="0.25">
      <c r="N82" s="5"/>
    </row>
    <row r="83" spans="14:14" x14ac:dyDescent="0.25">
      <c r="N83" s="5"/>
    </row>
    <row r="84" spans="14:14" x14ac:dyDescent="0.25">
      <c r="N84" s="5"/>
    </row>
    <row r="85" spans="14:14" x14ac:dyDescent="0.25">
      <c r="N85" s="5"/>
    </row>
    <row r="86" spans="14:14" x14ac:dyDescent="0.25">
      <c r="N86" s="5"/>
    </row>
    <row r="87" spans="14:14" x14ac:dyDescent="0.25">
      <c r="N87" s="5"/>
    </row>
    <row r="88" spans="14:14" x14ac:dyDescent="0.25">
      <c r="N88" s="5"/>
    </row>
    <row r="89" spans="14:14" x14ac:dyDescent="0.25">
      <c r="N89" s="5"/>
    </row>
    <row r="90" spans="14:14" x14ac:dyDescent="0.25">
      <c r="N90" s="5"/>
    </row>
    <row r="91" spans="14:14" x14ac:dyDescent="0.25">
      <c r="N91" s="5"/>
    </row>
  </sheetData>
  <mergeCells count="12">
    <mergeCell ref="P21:P22"/>
    <mergeCell ref="C21:C22"/>
    <mergeCell ref="D21:D22"/>
    <mergeCell ref="E21:E22"/>
    <mergeCell ref="F21:F22"/>
    <mergeCell ref="K21:K22"/>
    <mergeCell ref="O21:O22"/>
    <mergeCell ref="H21:H22"/>
    <mergeCell ref="I21:I22"/>
    <mergeCell ref="J21:J22"/>
    <mergeCell ref="L21:L22"/>
    <mergeCell ref="M21:M22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6"/>
  <sheetViews>
    <sheetView topLeftCell="A31" workbookViewId="0">
      <selection activeCell="M50" sqref="M50"/>
    </sheetView>
  </sheetViews>
  <sheetFormatPr defaultRowHeight="15" x14ac:dyDescent="0.25"/>
  <cols>
    <col min="5" max="5" width="10.85546875" bestFit="1" customWidth="1"/>
    <col min="17" max="17" width="11.5703125" bestFit="1" customWidth="1"/>
    <col min="53" max="53" width="9.5703125" bestFit="1" customWidth="1"/>
  </cols>
  <sheetData>
    <row r="1" spans="1:57" ht="51" customHeight="1" x14ac:dyDescent="0.25">
      <c r="A1" s="1" t="s">
        <v>0</v>
      </c>
      <c r="B1" s="1" t="s">
        <v>1</v>
      </c>
      <c r="C1" s="8" t="s">
        <v>135</v>
      </c>
      <c r="D1" s="8" t="s">
        <v>136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16</v>
      </c>
      <c r="J1" s="8" t="s">
        <v>10</v>
      </c>
      <c r="K1" s="8" t="s">
        <v>133</v>
      </c>
      <c r="L1" s="8" t="s">
        <v>12</v>
      </c>
      <c r="M1" s="8" t="s">
        <v>10</v>
      </c>
      <c r="N1" s="8" t="s">
        <v>137</v>
      </c>
      <c r="O1" s="8" t="s">
        <v>14</v>
      </c>
      <c r="P1" s="8" t="s">
        <v>15</v>
      </c>
      <c r="Q1" s="8" t="s">
        <v>17</v>
      </c>
      <c r="R1" s="8" t="s">
        <v>18</v>
      </c>
      <c r="S1" s="8" t="s">
        <v>5</v>
      </c>
      <c r="T1" s="8" t="s">
        <v>6</v>
      </c>
      <c r="U1" s="8" t="s">
        <v>7</v>
      </c>
      <c r="V1" s="8" t="s">
        <v>8</v>
      </c>
      <c r="W1" s="8" t="s">
        <v>16</v>
      </c>
      <c r="X1" s="8" t="s">
        <v>10</v>
      </c>
      <c r="Y1" s="8" t="s">
        <v>19</v>
      </c>
      <c r="Z1" s="8" t="s">
        <v>12</v>
      </c>
      <c r="AA1" s="8" t="s">
        <v>10</v>
      </c>
      <c r="AB1" s="8" t="s">
        <v>20</v>
      </c>
      <c r="AC1" s="8" t="s">
        <v>14</v>
      </c>
      <c r="AD1" s="8" t="s">
        <v>15</v>
      </c>
      <c r="AE1" s="11" t="s">
        <v>21</v>
      </c>
      <c r="AF1" s="11" t="s">
        <v>24</v>
      </c>
      <c r="AG1" s="11" t="s">
        <v>23</v>
      </c>
      <c r="AH1" s="11" t="s">
        <v>21</v>
      </c>
      <c r="AI1" s="11" t="s">
        <v>22</v>
      </c>
      <c r="AJ1" s="11" t="s">
        <v>23</v>
      </c>
      <c r="AK1" s="7" t="s">
        <v>25</v>
      </c>
      <c r="AL1" s="7" t="s">
        <v>26</v>
      </c>
      <c r="AM1" s="12" t="s">
        <v>23</v>
      </c>
      <c r="AN1" s="7" t="s">
        <v>25</v>
      </c>
      <c r="AO1" s="7" t="s">
        <v>26</v>
      </c>
      <c r="AP1" s="12" t="s">
        <v>23</v>
      </c>
      <c r="AQ1" s="12" t="s">
        <v>39</v>
      </c>
      <c r="AR1" s="13" t="s">
        <v>35</v>
      </c>
      <c r="AS1" s="14" t="s">
        <v>36</v>
      </c>
      <c r="AT1" s="8" t="s">
        <v>37</v>
      </c>
      <c r="AU1" s="15" t="s">
        <v>41</v>
      </c>
      <c r="AV1" s="11" t="s">
        <v>40</v>
      </c>
      <c r="AW1" s="11"/>
      <c r="AX1" s="11"/>
      <c r="AY1" s="11"/>
    </row>
    <row r="2" spans="1:57" ht="14.45" x14ac:dyDescent="0.35">
      <c r="A2">
        <v>1</v>
      </c>
      <c r="B2">
        <v>1</v>
      </c>
      <c r="C2" s="9">
        <v>2228.2002222222222</v>
      </c>
      <c r="D2" s="5">
        <v>849.90788888888881</v>
      </c>
      <c r="E2" s="9">
        <f>SUM(C2:D2)</f>
        <v>3078.1081111111112</v>
      </c>
      <c r="F2" s="5">
        <v>1470</v>
      </c>
      <c r="G2" s="9">
        <v>14327.899999999998</v>
      </c>
      <c r="H2" s="5">
        <v>364</v>
      </c>
      <c r="I2" s="5">
        <v>3804.1964400000002</v>
      </c>
      <c r="J2" s="9">
        <f>SUM(F2:I2)</f>
        <v>19966.096439999998</v>
      </c>
      <c r="K2" s="5">
        <v>15.68</v>
      </c>
      <c r="L2" s="9">
        <v>457.9684933333333</v>
      </c>
      <c r="M2" s="9">
        <f>SUM(K2:L2)</f>
        <v>473.64849333333331</v>
      </c>
      <c r="N2" s="5">
        <v>844.65000000000009</v>
      </c>
      <c r="O2" s="5">
        <v>369.22</v>
      </c>
      <c r="P2" s="9">
        <f>SUM(E2+J2+M2+N2+O2)</f>
        <v>24731.723044444447</v>
      </c>
      <c r="Q2" s="10">
        <f>(C2+C8+C14)/3</f>
        <v>2228.2002222222222</v>
      </c>
      <c r="R2" s="10">
        <f t="shared" ref="R2:AD7" si="0">(D2+D8+D14)/3</f>
        <v>849.90788888888881</v>
      </c>
      <c r="S2" s="10">
        <f t="shared" si="0"/>
        <v>3078.1081111111112</v>
      </c>
      <c r="T2" s="10">
        <f t="shared" si="0"/>
        <v>1470</v>
      </c>
      <c r="U2" s="10">
        <f t="shared" si="0"/>
        <v>14327.9</v>
      </c>
      <c r="V2" s="10">
        <f t="shared" si="0"/>
        <v>364</v>
      </c>
      <c r="W2" s="10">
        <f t="shared" si="0"/>
        <v>3927.9451599999998</v>
      </c>
      <c r="X2" s="10">
        <f t="shared" si="0"/>
        <v>20089.845159999997</v>
      </c>
      <c r="Y2" s="10">
        <f t="shared" si="0"/>
        <v>15.68</v>
      </c>
      <c r="Z2" s="10">
        <f t="shared" si="0"/>
        <v>471.71835111111113</v>
      </c>
      <c r="AA2" s="10">
        <f t="shared" si="0"/>
        <v>487.39835111111114</v>
      </c>
      <c r="AB2" s="10">
        <f t="shared" si="0"/>
        <v>844.65000000000009</v>
      </c>
      <c r="AC2" s="10">
        <f t="shared" si="0"/>
        <v>369.22</v>
      </c>
      <c r="AD2" s="10">
        <f t="shared" si="0"/>
        <v>24869.221622222223</v>
      </c>
      <c r="AE2" s="10">
        <f>E2+I2+N2+O2+K2+L2</f>
        <v>8569.8230444444453</v>
      </c>
      <c r="AF2" s="5">
        <f>G2+F2+H2</f>
        <v>16161.899999999998</v>
      </c>
      <c r="AG2" s="10">
        <f>SUM(AE2:AF2)</f>
        <v>24731.723044444443</v>
      </c>
      <c r="AH2" s="10">
        <f>(AE2+AE8+AE14)/3</f>
        <v>8707.3216222222236</v>
      </c>
      <c r="AI2" s="10">
        <f>(AF2+AF8+AF14)/3</f>
        <v>16161.9</v>
      </c>
      <c r="AJ2" s="10">
        <f>(AG2+AG8+AG14)/3</f>
        <v>24869.22162222222</v>
      </c>
      <c r="AK2" s="10">
        <f>F2+K2+L2</f>
        <v>1943.6484933333334</v>
      </c>
      <c r="AL2" s="10">
        <f>E2+G2+H2+I2+N2+O2</f>
        <v>22788.074551111113</v>
      </c>
      <c r="AM2" s="10">
        <f>SUM(AK2:AL2)</f>
        <v>24731.723044444447</v>
      </c>
      <c r="AN2" s="10">
        <f>(AK2+AK8+AK14)/3</f>
        <v>1957.3983511111112</v>
      </c>
      <c r="AO2" s="10">
        <f t="shared" ref="AO2:AP2" si="1">(AL2+AL8+AL14)/3</f>
        <v>22911.823271111109</v>
      </c>
      <c r="AP2" s="10">
        <f t="shared" si="1"/>
        <v>24869.221622222223</v>
      </c>
      <c r="AQ2" s="5">
        <v>5222</v>
      </c>
      <c r="AR2" s="5">
        <f t="shared" ref="AR2:AR19" si="2">(AQ2*14.7)</f>
        <v>76763.399999999994</v>
      </c>
      <c r="AS2" s="5">
        <v>158254.16666666666</v>
      </c>
      <c r="AT2" s="5">
        <f>AS2-AR2</f>
        <v>81490.766666666663</v>
      </c>
      <c r="AU2" s="17">
        <f t="shared" ref="AU2:AU19" si="3">AS2/AM2</f>
        <v>6.3988330445991997</v>
      </c>
      <c r="AV2" s="17">
        <f t="shared" ref="AV2:AV19" si="4">AR2/AM2</f>
        <v>3.1038435883359758</v>
      </c>
      <c r="AW2" s="17"/>
      <c r="AX2" s="17"/>
      <c r="AY2" s="17"/>
      <c r="AZ2" s="5">
        <f t="shared" ref="AZ2:BE2" si="5">(AQ2+AQ8+AQ14)/3</f>
        <v>5061.333333333333</v>
      </c>
      <c r="BA2" s="5">
        <f>(AR2+AR8+AR14)/3</f>
        <v>74401.599999999991</v>
      </c>
      <c r="BB2" s="5">
        <f t="shared" si="5"/>
        <v>153780.02777777778</v>
      </c>
      <c r="BC2" s="5">
        <f>(AT2+AT8+AT14)/3</f>
        <v>79378.427777777775</v>
      </c>
      <c r="BD2" s="17">
        <f t="shared" si="5"/>
        <v>6.185656717539243</v>
      </c>
      <c r="BE2" s="17">
        <f t="shared" si="5"/>
        <v>2.9934419759888229</v>
      </c>
    </row>
    <row r="3" spans="1:57" ht="14.45" x14ac:dyDescent="0.35">
      <c r="A3">
        <v>1</v>
      </c>
      <c r="B3">
        <v>2</v>
      </c>
      <c r="C3" s="5">
        <v>2228.2002222222222</v>
      </c>
      <c r="D3" s="5">
        <v>849.90788888888881</v>
      </c>
      <c r="E3" s="9">
        <f t="shared" ref="E3:E19" si="6">SUM(C3:D3)</f>
        <v>3078.1081111111112</v>
      </c>
      <c r="F3" s="5">
        <v>1470</v>
      </c>
      <c r="G3" s="5">
        <v>14327.899999999998</v>
      </c>
      <c r="H3" s="5">
        <v>364</v>
      </c>
      <c r="I3" s="5">
        <v>3804.1964400000002</v>
      </c>
      <c r="J3" s="9">
        <f t="shared" ref="J3:J19" si="7">SUM(F3:I3)</f>
        <v>19966.096439999998</v>
      </c>
      <c r="K3" s="5">
        <v>15.68</v>
      </c>
      <c r="L3" s="5">
        <v>457.9684933333333</v>
      </c>
      <c r="M3" s="9">
        <f t="shared" ref="M3:M19" si="8">SUM(K3:L3)</f>
        <v>473.64849333333331</v>
      </c>
      <c r="N3" s="5">
        <v>844.65000000000009</v>
      </c>
      <c r="O3" s="5">
        <v>369.22</v>
      </c>
      <c r="P3" s="9">
        <f t="shared" ref="P3:P19" si="9">SUM(E3+J3+M3+N3+O3)</f>
        <v>24731.723044444447</v>
      </c>
      <c r="Q3" s="10">
        <f t="shared" ref="Q3:Q7" si="10">(C3+C9+C15)/3</f>
        <v>2228.2002222222222</v>
      </c>
      <c r="R3" s="10">
        <f t="shared" si="0"/>
        <v>849.90788888888881</v>
      </c>
      <c r="S3" s="10">
        <f t="shared" si="0"/>
        <v>3078.1081111111112</v>
      </c>
      <c r="T3" s="10">
        <f t="shared" si="0"/>
        <v>1470</v>
      </c>
      <c r="U3" s="10">
        <f t="shared" si="0"/>
        <v>14327.9</v>
      </c>
      <c r="V3" s="10">
        <f t="shared" si="0"/>
        <v>364</v>
      </c>
      <c r="W3" s="10">
        <f t="shared" si="0"/>
        <v>3927.9451599999998</v>
      </c>
      <c r="X3" s="10">
        <f t="shared" si="0"/>
        <v>20089.845159999997</v>
      </c>
      <c r="Y3" s="10">
        <f t="shared" si="0"/>
        <v>15.68</v>
      </c>
      <c r="Z3" s="10">
        <f t="shared" si="0"/>
        <v>471.71835111111113</v>
      </c>
      <c r="AA3" s="10">
        <f t="shared" si="0"/>
        <v>487.39835111111114</v>
      </c>
      <c r="AB3" s="10">
        <f t="shared" si="0"/>
        <v>844.65000000000009</v>
      </c>
      <c r="AC3" s="10">
        <f t="shared" si="0"/>
        <v>369.22</v>
      </c>
      <c r="AD3" s="10">
        <f t="shared" si="0"/>
        <v>24869.221622222223</v>
      </c>
      <c r="AE3" s="10">
        <f t="shared" ref="AE3:AE19" si="11">E3+I3+N3+O3+K3+L3</f>
        <v>8569.8230444444453</v>
      </c>
      <c r="AF3" s="5">
        <f t="shared" ref="AF3:AF19" si="12">G3+F3+H3</f>
        <v>16161.899999999998</v>
      </c>
      <c r="AG3" s="10">
        <f t="shared" ref="AG3:AG19" si="13">SUM(AE3:AF3)</f>
        <v>24731.723044444443</v>
      </c>
      <c r="AH3" s="10">
        <f t="shared" ref="AH3:AJ7" si="14">(AE3+AE9+AE15)/3</f>
        <v>8707.3216222222236</v>
      </c>
      <c r="AI3" s="10">
        <f t="shared" si="14"/>
        <v>16161.9</v>
      </c>
      <c r="AJ3" s="10">
        <f t="shared" si="14"/>
        <v>24869.22162222222</v>
      </c>
      <c r="AK3" s="10">
        <f t="shared" ref="AK3:AK19" si="15">F3+K3+L3</f>
        <v>1943.6484933333334</v>
      </c>
      <c r="AL3" s="10">
        <f t="shared" ref="AL3:AL19" si="16">E3+G3+H3+I3+N3+O3</f>
        <v>22788.074551111113</v>
      </c>
      <c r="AM3" s="10">
        <f t="shared" ref="AM3:AM19" si="17">SUM(AK3:AL3)</f>
        <v>24731.723044444447</v>
      </c>
      <c r="AN3" s="10">
        <f t="shared" ref="AN3:AN7" si="18">(AK3+AK9+AK15)/3</f>
        <v>1957.3983511111112</v>
      </c>
      <c r="AO3" s="10">
        <f t="shared" ref="AO3:AO7" si="19">(AL3+AL9+AL15)/3</f>
        <v>22911.823271111109</v>
      </c>
      <c r="AP3" s="10">
        <f t="shared" ref="AP3:AP7" si="20">(AM3+AM9+AM15)/3</f>
        <v>24869.221622222223</v>
      </c>
      <c r="AQ3" s="5">
        <v>5290</v>
      </c>
      <c r="AR3" s="5">
        <f t="shared" si="2"/>
        <v>77763</v>
      </c>
      <c r="AS3" s="5">
        <v>160725.5</v>
      </c>
      <c r="AT3" s="5">
        <f t="shared" ref="AT3:AT19" si="21">AS3-AR3</f>
        <v>82962.5</v>
      </c>
      <c r="AU3" s="17">
        <f t="shared" si="3"/>
        <v>6.4987586878264105</v>
      </c>
      <c r="AV3" s="17">
        <f t="shared" si="4"/>
        <v>3.1442613141128519</v>
      </c>
      <c r="AW3" s="17"/>
      <c r="AX3" s="17"/>
      <c r="AY3" s="17"/>
      <c r="AZ3" s="5">
        <f>(AQ3+AQ9+AQ15)/3</f>
        <v>5149.666666666667</v>
      </c>
      <c r="BA3" s="5">
        <f t="shared" ref="BA3:BE7" si="22">(AR3+AR9+AR15)/3</f>
        <v>75700.099999999991</v>
      </c>
      <c r="BB3" s="5">
        <f t="shared" si="22"/>
        <v>156036.44444444444</v>
      </c>
      <c r="BC3" s="5">
        <f t="shared" si="22"/>
        <v>80336.344444444447</v>
      </c>
      <c r="BD3" s="17">
        <f t="shared" si="22"/>
        <v>6.2751773034199445</v>
      </c>
      <c r="BE3" s="17">
        <f t="shared" si="22"/>
        <v>3.0446186639292141</v>
      </c>
    </row>
    <row r="4" spans="1:57" ht="14.45" x14ac:dyDescent="0.35">
      <c r="A4">
        <v>1</v>
      </c>
      <c r="B4">
        <v>3</v>
      </c>
      <c r="C4" s="5">
        <v>1382.2123333333334</v>
      </c>
      <c r="D4" s="5">
        <v>594.1016666666668</v>
      </c>
      <c r="E4" s="9">
        <f t="shared" si="6"/>
        <v>1976.3140000000003</v>
      </c>
      <c r="F4" s="5">
        <v>1470</v>
      </c>
      <c r="G4" s="5">
        <v>12751.8</v>
      </c>
      <c r="H4" s="5">
        <v>352</v>
      </c>
      <c r="I4" s="5">
        <v>3586.7030400000003</v>
      </c>
      <c r="J4" s="9">
        <f t="shared" si="7"/>
        <v>18160.50304</v>
      </c>
      <c r="K4" s="5">
        <v>15.68</v>
      </c>
      <c r="L4" s="5">
        <v>425.96256000000005</v>
      </c>
      <c r="M4" s="9">
        <f t="shared" si="8"/>
        <v>441.64256000000006</v>
      </c>
      <c r="N4" s="5">
        <v>844.65000000000009</v>
      </c>
      <c r="O4" s="5">
        <v>369.22</v>
      </c>
      <c r="P4" s="9">
        <f t="shared" si="9"/>
        <v>21792.329600000005</v>
      </c>
      <c r="Q4" s="10">
        <f t="shared" si="10"/>
        <v>1382.2123333333336</v>
      </c>
      <c r="R4" s="10">
        <f t="shared" si="0"/>
        <v>594.1016666666668</v>
      </c>
      <c r="S4" s="10">
        <f t="shared" si="0"/>
        <v>1976.3140000000003</v>
      </c>
      <c r="T4" s="10">
        <f t="shared" si="0"/>
        <v>1470</v>
      </c>
      <c r="U4" s="10">
        <f t="shared" si="0"/>
        <v>12751.799999999997</v>
      </c>
      <c r="V4" s="10">
        <f t="shared" si="0"/>
        <v>352</v>
      </c>
      <c r="W4" s="10">
        <f t="shared" si="0"/>
        <v>3830.75504</v>
      </c>
      <c r="X4" s="10">
        <f t="shared" si="0"/>
        <v>18404.555040000003</v>
      </c>
      <c r="Y4" s="10">
        <f t="shared" si="0"/>
        <v>15.68</v>
      </c>
      <c r="Z4" s="10">
        <f t="shared" si="0"/>
        <v>453.07944888888892</v>
      </c>
      <c r="AA4" s="10">
        <f t="shared" si="0"/>
        <v>468.75944888888898</v>
      </c>
      <c r="AB4" s="10">
        <f t="shared" si="0"/>
        <v>844.65000000000009</v>
      </c>
      <c r="AC4" s="10">
        <f t="shared" si="0"/>
        <v>369.22</v>
      </c>
      <c r="AD4" s="10">
        <f t="shared" si="0"/>
        <v>22063.49848888889</v>
      </c>
      <c r="AE4" s="10">
        <f t="shared" si="11"/>
        <v>7218.5296000000008</v>
      </c>
      <c r="AF4" s="5">
        <f t="shared" si="12"/>
        <v>14573.8</v>
      </c>
      <c r="AG4" s="10">
        <f t="shared" si="13"/>
        <v>21792.329600000001</v>
      </c>
      <c r="AH4" s="10">
        <f t="shared" si="14"/>
        <v>7489.6984888888901</v>
      </c>
      <c r="AI4" s="10">
        <f t="shared" si="14"/>
        <v>14573.799999999997</v>
      </c>
      <c r="AJ4" s="10">
        <f t="shared" si="14"/>
        <v>22063.49848888889</v>
      </c>
      <c r="AK4" s="10">
        <f t="shared" si="15"/>
        <v>1911.6425600000002</v>
      </c>
      <c r="AL4" s="10">
        <f t="shared" si="16"/>
        <v>19880.687040000004</v>
      </c>
      <c r="AM4" s="10">
        <f t="shared" si="17"/>
        <v>21792.329600000005</v>
      </c>
      <c r="AN4" s="10">
        <f t="shared" si="18"/>
        <v>1938.7594488888892</v>
      </c>
      <c r="AO4" s="10">
        <f t="shared" si="19"/>
        <v>20124.739040000004</v>
      </c>
      <c r="AP4" s="10">
        <f t="shared" si="20"/>
        <v>22063.49848888889</v>
      </c>
      <c r="AQ4" s="5">
        <v>5308</v>
      </c>
      <c r="AR4" s="5">
        <f t="shared" si="2"/>
        <v>78027.599999999991</v>
      </c>
      <c r="AS4" s="5">
        <v>161437.16666666666</v>
      </c>
      <c r="AT4" s="5">
        <f t="shared" si="21"/>
        <v>83409.566666666666</v>
      </c>
      <c r="AU4" s="17">
        <f t="shared" si="3"/>
        <v>7.4079811396880961</v>
      </c>
      <c r="AV4" s="17">
        <f t="shared" si="4"/>
        <v>3.580507519489792</v>
      </c>
      <c r="AW4" s="17"/>
      <c r="AX4" s="17"/>
      <c r="AY4" s="17"/>
      <c r="AZ4" s="5">
        <f>(AQ4+AQ10+AQ16)/3</f>
        <v>5386</v>
      </c>
      <c r="BA4" s="5">
        <f t="shared" si="22"/>
        <v>79174.2</v>
      </c>
      <c r="BB4" s="5">
        <f t="shared" si="22"/>
        <v>162005.32222222222</v>
      </c>
      <c r="BC4" s="5">
        <f t="shared" si="22"/>
        <v>82831.122222222228</v>
      </c>
      <c r="BD4" s="17">
        <f t="shared" si="22"/>
        <v>7.344674909559906</v>
      </c>
      <c r="BE4" s="17">
        <f t="shared" si="22"/>
        <v>3.5893107810909064</v>
      </c>
    </row>
    <row r="5" spans="1:57" ht="14.45" x14ac:dyDescent="0.35">
      <c r="A5">
        <v>1</v>
      </c>
      <c r="B5">
        <v>4</v>
      </c>
      <c r="C5" s="5"/>
      <c r="D5" s="5">
        <v>892.36505555555561</v>
      </c>
      <c r="E5" s="9">
        <f t="shared" si="6"/>
        <v>892.36505555555561</v>
      </c>
      <c r="F5" s="5">
        <v>1470</v>
      </c>
      <c r="G5" s="5">
        <v>12751.8</v>
      </c>
      <c r="H5" s="5">
        <v>462</v>
      </c>
      <c r="I5" s="5">
        <v>3002.7009599999997</v>
      </c>
      <c r="J5" s="9">
        <f t="shared" si="7"/>
        <v>17686.500959999998</v>
      </c>
      <c r="K5" s="5">
        <v>0</v>
      </c>
      <c r="L5" s="5">
        <v>366.95344</v>
      </c>
      <c r="M5" s="9">
        <f t="shared" si="8"/>
        <v>366.95344</v>
      </c>
      <c r="N5" s="5">
        <v>844.65000000000009</v>
      </c>
      <c r="O5" s="5">
        <v>369.22</v>
      </c>
      <c r="P5" s="9">
        <f t="shared" si="9"/>
        <v>20159.689455555555</v>
      </c>
      <c r="Q5" s="10">
        <f t="shared" si="10"/>
        <v>0</v>
      </c>
      <c r="R5" s="10">
        <f t="shared" si="0"/>
        <v>892.36505555555561</v>
      </c>
      <c r="S5" s="10">
        <f t="shared" si="0"/>
        <v>892.36505555555561</v>
      </c>
      <c r="T5" s="10">
        <f t="shared" si="0"/>
        <v>1470</v>
      </c>
      <c r="U5" s="10">
        <f t="shared" si="0"/>
        <v>12751.799999999997</v>
      </c>
      <c r="V5" s="10">
        <f t="shared" si="0"/>
        <v>462</v>
      </c>
      <c r="W5" s="10">
        <f t="shared" si="0"/>
        <v>3235.8424</v>
      </c>
      <c r="X5" s="10">
        <f t="shared" si="0"/>
        <v>17919.642399999997</v>
      </c>
      <c r="Y5" s="10">
        <f t="shared" si="0"/>
        <v>0</v>
      </c>
      <c r="Z5" s="10">
        <f t="shared" si="0"/>
        <v>392.85804444444443</v>
      </c>
      <c r="AA5" s="10">
        <f t="shared" si="0"/>
        <v>392.85804444444443</v>
      </c>
      <c r="AB5" s="10">
        <f t="shared" si="0"/>
        <v>844.65000000000009</v>
      </c>
      <c r="AC5" s="10">
        <f t="shared" si="0"/>
        <v>369.22</v>
      </c>
      <c r="AD5" s="10">
        <f t="shared" si="0"/>
        <v>20418.735499999999</v>
      </c>
      <c r="AE5" s="10">
        <f t="shared" si="11"/>
        <v>5475.8894555555562</v>
      </c>
      <c r="AF5" s="5">
        <f t="shared" si="12"/>
        <v>14683.8</v>
      </c>
      <c r="AG5" s="10">
        <f t="shared" si="13"/>
        <v>20159.689455555555</v>
      </c>
      <c r="AH5" s="10">
        <f t="shared" si="14"/>
        <v>5734.9355000000005</v>
      </c>
      <c r="AI5" s="10">
        <f t="shared" si="14"/>
        <v>14683.799999999997</v>
      </c>
      <c r="AJ5" s="10">
        <f t="shared" si="14"/>
        <v>20418.735499999999</v>
      </c>
      <c r="AK5" s="10">
        <f t="shared" si="15"/>
        <v>1836.95344</v>
      </c>
      <c r="AL5" s="10">
        <f t="shared" si="16"/>
        <v>18322.736015555558</v>
      </c>
      <c r="AM5" s="10">
        <f t="shared" si="17"/>
        <v>20159.689455555559</v>
      </c>
      <c r="AN5" s="10">
        <f t="shared" si="18"/>
        <v>1862.8580444444444</v>
      </c>
      <c r="AO5" s="10">
        <f t="shared" si="19"/>
        <v>18555.877455555557</v>
      </c>
      <c r="AP5" s="10">
        <f t="shared" si="20"/>
        <v>20418.735500000003</v>
      </c>
      <c r="AQ5" s="5">
        <v>5739</v>
      </c>
      <c r="AR5" s="5">
        <f t="shared" si="2"/>
        <v>84363.3</v>
      </c>
      <c r="AS5" s="5">
        <v>172278</v>
      </c>
      <c r="AT5" s="5">
        <f t="shared" si="21"/>
        <v>87914.7</v>
      </c>
      <c r="AU5" s="17">
        <f t="shared" si="3"/>
        <v>8.5456673516627042</v>
      </c>
      <c r="AV5" s="17">
        <f t="shared" si="4"/>
        <v>4.1847519618786277</v>
      </c>
      <c r="AW5" s="17"/>
      <c r="AX5" s="17"/>
      <c r="AY5" s="17"/>
      <c r="AZ5" s="5">
        <f>(AQ5+AQ11+AQ17)/3</f>
        <v>5635</v>
      </c>
      <c r="BA5" s="5">
        <f t="shared" si="22"/>
        <v>82834.5</v>
      </c>
      <c r="BB5" s="5">
        <f t="shared" si="22"/>
        <v>169805.38888888888</v>
      </c>
      <c r="BC5" s="5">
        <f t="shared" si="22"/>
        <v>86970.888888888876</v>
      </c>
      <c r="BD5" s="17">
        <f t="shared" si="22"/>
        <v>8.3174983321289631</v>
      </c>
      <c r="BE5" s="17">
        <f t="shared" si="22"/>
        <v>4.0577223337805783</v>
      </c>
    </row>
    <row r="6" spans="1:57" ht="14.45" x14ac:dyDescent="0.35">
      <c r="A6">
        <v>1</v>
      </c>
      <c r="B6">
        <v>5</v>
      </c>
      <c r="C6" s="5">
        <v>0</v>
      </c>
      <c r="D6" s="5">
        <v>892.36505555555561</v>
      </c>
      <c r="E6" s="9">
        <f t="shared" si="6"/>
        <v>892.36505555555561</v>
      </c>
      <c r="F6" s="5">
        <v>1470</v>
      </c>
      <c r="G6" s="5">
        <v>11398.134666666667</v>
      </c>
      <c r="H6" s="5">
        <v>462</v>
      </c>
      <c r="I6" s="5">
        <v>3002.7009599999997</v>
      </c>
      <c r="J6" s="9">
        <f t="shared" si="7"/>
        <v>16332.835626666667</v>
      </c>
      <c r="K6" s="5">
        <v>0</v>
      </c>
      <c r="L6" s="5">
        <v>366.95344</v>
      </c>
      <c r="M6" s="9">
        <f t="shared" si="8"/>
        <v>366.95344</v>
      </c>
      <c r="N6" s="5">
        <v>844.65000000000009</v>
      </c>
      <c r="O6" s="5">
        <v>369.22</v>
      </c>
      <c r="P6" s="9">
        <f t="shared" si="9"/>
        <v>18806.024122222225</v>
      </c>
      <c r="Q6" s="10">
        <f t="shared" si="10"/>
        <v>0</v>
      </c>
      <c r="R6" s="10">
        <f t="shared" si="0"/>
        <v>892.36505555555561</v>
      </c>
      <c r="S6" s="10">
        <f t="shared" si="0"/>
        <v>892.36505555555561</v>
      </c>
      <c r="T6" s="10">
        <f t="shared" si="0"/>
        <v>1470</v>
      </c>
      <c r="U6" s="10">
        <f t="shared" si="0"/>
        <v>11597.289555555553</v>
      </c>
      <c r="V6" s="10">
        <f t="shared" si="0"/>
        <v>462</v>
      </c>
      <c r="W6" s="10">
        <f t="shared" si="0"/>
        <v>3235.8424</v>
      </c>
      <c r="X6" s="10">
        <f t="shared" si="0"/>
        <v>16765.131955555553</v>
      </c>
      <c r="Y6" s="10">
        <f t="shared" si="0"/>
        <v>0</v>
      </c>
      <c r="Z6" s="10">
        <f t="shared" si="0"/>
        <v>392.85804444444443</v>
      </c>
      <c r="AA6" s="10">
        <f t="shared" si="0"/>
        <v>392.85804444444443</v>
      </c>
      <c r="AB6" s="10">
        <f t="shared" si="0"/>
        <v>844.65000000000009</v>
      </c>
      <c r="AC6" s="10">
        <f t="shared" si="0"/>
        <v>369.22</v>
      </c>
      <c r="AD6" s="10">
        <f t="shared" si="0"/>
        <v>19264.225055555555</v>
      </c>
      <c r="AE6" s="10">
        <f t="shared" si="11"/>
        <v>5475.8894555555562</v>
      </c>
      <c r="AF6" s="5">
        <f t="shared" si="12"/>
        <v>13330.134666666667</v>
      </c>
      <c r="AG6" s="10">
        <f t="shared" si="13"/>
        <v>18806.024122222225</v>
      </c>
      <c r="AH6" s="10">
        <f t="shared" si="14"/>
        <v>5734.9355000000005</v>
      </c>
      <c r="AI6" s="10">
        <f t="shared" si="14"/>
        <v>13529.289555555553</v>
      </c>
      <c r="AJ6" s="10">
        <f t="shared" si="14"/>
        <v>19264.225055555558</v>
      </c>
      <c r="AK6" s="10">
        <f t="shared" si="15"/>
        <v>1836.95344</v>
      </c>
      <c r="AL6" s="10">
        <f t="shared" si="16"/>
        <v>16969.070682222224</v>
      </c>
      <c r="AM6" s="10">
        <f t="shared" si="17"/>
        <v>18806.024122222225</v>
      </c>
      <c r="AN6" s="10">
        <f t="shared" si="18"/>
        <v>1862.8580444444444</v>
      </c>
      <c r="AO6" s="10">
        <f t="shared" si="19"/>
        <v>17401.367011111113</v>
      </c>
      <c r="AP6" s="10">
        <f t="shared" si="20"/>
        <v>19264.225055555558</v>
      </c>
      <c r="AQ6" s="5">
        <v>5889</v>
      </c>
      <c r="AR6" s="5">
        <f t="shared" si="2"/>
        <v>86568.3</v>
      </c>
      <c r="AS6" s="5">
        <v>176520.5</v>
      </c>
      <c r="AT6" s="5">
        <f t="shared" si="21"/>
        <v>89952.2</v>
      </c>
      <c r="AU6" s="17">
        <f t="shared" si="3"/>
        <v>9.386380600852986</v>
      </c>
      <c r="AV6" s="17">
        <f t="shared" si="4"/>
        <v>4.6032217887940581</v>
      </c>
      <c r="AW6" s="17"/>
      <c r="AX6" s="17"/>
      <c r="AY6" s="17"/>
      <c r="AZ6" s="5">
        <f>(AQ6+AQ12+AQ18)/3</f>
        <v>5774.666666666667</v>
      </c>
      <c r="BA6" s="5">
        <f t="shared" si="22"/>
        <v>84887.599999999991</v>
      </c>
      <c r="BB6" s="5">
        <f t="shared" si="22"/>
        <v>173759.27777777775</v>
      </c>
      <c r="BC6" s="5">
        <f t="shared" si="22"/>
        <v>88871.677777777761</v>
      </c>
      <c r="BD6" s="17">
        <f t="shared" si="22"/>
        <v>9.0256034676056522</v>
      </c>
      <c r="BE6" s="17">
        <f t="shared" si="22"/>
        <v>4.4103436550129329</v>
      </c>
    </row>
    <row r="7" spans="1:57" ht="14.45" x14ac:dyDescent="0.35">
      <c r="A7">
        <v>1</v>
      </c>
      <c r="B7">
        <v>6</v>
      </c>
      <c r="C7" s="5">
        <v>0</v>
      </c>
      <c r="D7" s="5">
        <v>892.36505555555561</v>
      </c>
      <c r="E7" s="9">
        <f t="shared" si="6"/>
        <v>892.36505555555561</v>
      </c>
      <c r="F7" s="5">
        <v>1470</v>
      </c>
      <c r="G7" s="5">
        <v>10612.7444</v>
      </c>
      <c r="H7" s="5">
        <v>462</v>
      </c>
      <c r="I7" s="5">
        <v>3002.7009599999997</v>
      </c>
      <c r="J7" s="9">
        <f t="shared" si="7"/>
        <v>15547.44536</v>
      </c>
      <c r="K7" s="5">
        <v>0</v>
      </c>
      <c r="L7" s="5">
        <v>366.95344</v>
      </c>
      <c r="M7" s="9">
        <f t="shared" si="8"/>
        <v>366.95344</v>
      </c>
      <c r="N7" s="5">
        <v>844.65000000000009</v>
      </c>
      <c r="O7" s="5">
        <v>369.22</v>
      </c>
      <c r="P7" s="9">
        <f t="shared" si="9"/>
        <v>18020.633855555559</v>
      </c>
      <c r="Q7" s="10">
        <f t="shared" si="10"/>
        <v>0</v>
      </c>
      <c r="R7" s="10">
        <f t="shared" si="0"/>
        <v>892.36505555555561</v>
      </c>
      <c r="S7" s="10">
        <f t="shared" si="0"/>
        <v>892.36505555555561</v>
      </c>
      <c r="T7" s="10">
        <f t="shared" si="0"/>
        <v>1470</v>
      </c>
      <c r="U7" s="10">
        <f t="shared" si="0"/>
        <v>10809.357866666665</v>
      </c>
      <c r="V7" s="10">
        <f t="shared" si="0"/>
        <v>462</v>
      </c>
      <c r="W7" s="10">
        <f t="shared" si="0"/>
        <v>3235.8424</v>
      </c>
      <c r="X7" s="10">
        <f t="shared" si="0"/>
        <v>15977.200266666665</v>
      </c>
      <c r="Y7" s="10">
        <f t="shared" si="0"/>
        <v>0</v>
      </c>
      <c r="Z7" s="10">
        <f t="shared" si="0"/>
        <v>392.85804444444443</v>
      </c>
      <c r="AA7" s="10">
        <f t="shared" si="0"/>
        <v>392.85804444444443</v>
      </c>
      <c r="AB7" s="10">
        <f t="shared" si="0"/>
        <v>844.65000000000009</v>
      </c>
      <c r="AC7" s="10">
        <f t="shared" si="0"/>
        <v>369.22</v>
      </c>
      <c r="AD7" s="10">
        <f t="shared" si="0"/>
        <v>18476.293366666665</v>
      </c>
      <c r="AE7" s="10">
        <f t="shared" si="11"/>
        <v>5475.8894555555562</v>
      </c>
      <c r="AF7" s="5">
        <f t="shared" si="12"/>
        <v>12544.7444</v>
      </c>
      <c r="AG7" s="10">
        <f t="shared" si="13"/>
        <v>18020.633855555556</v>
      </c>
      <c r="AH7" s="10">
        <f t="shared" si="14"/>
        <v>5734.9355000000005</v>
      </c>
      <c r="AI7" s="10">
        <f t="shared" si="14"/>
        <v>12741.357866666665</v>
      </c>
      <c r="AJ7" s="10">
        <f t="shared" si="14"/>
        <v>18476.293366666665</v>
      </c>
      <c r="AK7" s="10">
        <f t="shared" si="15"/>
        <v>1836.95344</v>
      </c>
      <c r="AL7" s="10">
        <f t="shared" si="16"/>
        <v>16183.680415555555</v>
      </c>
      <c r="AM7" s="10">
        <f t="shared" si="17"/>
        <v>18020.633855555556</v>
      </c>
      <c r="AN7" s="10">
        <f t="shared" si="18"/>
        <v>1862.8580444444444</v>
      </c>
      <c r="AO7" s="10">
        <f t="shared" si="19"/>
        <v>16613.435322222223</v>
      </c>
      <c r="AP7" s="10">
        <f t="shared" si="20"/>
        <v>18476.293366666665</v>
      </c>
      <c r="AQ7" s="5">
        <v>5909</v>
      </c>
      <c r="AR7" s="5">
        <f t="shared" si="2"/>
        <v>86862.3</v>
      </c>
      <c r="AS7" s="5">
        <v>179133</v>
      </c>
      <c r="AT7" s="5">
        <f t="shared" si="21"/>
        <v>92270.7</v>
      </c>
      <c r="AU7" s="17">
        <f t="shared" si="3"/>
        <v>9.9404383572654051</v>
      </c>
      <c r="AV7" s="17">
        <f t="shared" si="4"/>
        <v>4.8201578643817431</v>
      </c>
      <c r="AW7" s="17"/>
      <c r="AX7" s="17"/>
      <c r="AY7" s="17"/>
      <c r="AZ7" s="5">
        <f>(AQ7+AQ13+AQ19)/3</f>
        <v>5847.666666666667</v>
      </c>
      <c r="BA7" s="5">
        <f t="shared" si="22"/>
        <v>85960.7</v>
      </c>
      <c r="BB7" s="5">
        <f t="shared" si="22"/>
        <v>175866.38888888888</v>
      </c>
      <c r="BC7" s="5">
        <f t="shared" si="22"/>
        <v>89905.688888888879</v>
      </c>
      <c r="BD7" s="17">
        <f t="shared" si="22"/>
        <v>9.525837984204486</v>
      </c>
      <c r="BE7" s="17">
        <f t="shared" si="22"/>
        <v>4.6562498790442701</v>
      </c>
    </row>
    <row r="8" spans="1:57" ht="14.45" x14ac:dyDescent="0.35">
      <c r="A8">
        <v>2</v>
      </c>
      <c r="B8">
        <v>1</v>
      </c>
      <c r="C8" s="5">
        <v>2228.2002222222222</v>
      </c>
      <c r="D8" s="5">
        <v>849.90788888888881</v>
      </c>
      <c r="E8" s="9">
        <f>SUM(C8:D8)</f>
        <v>3078.1081111111112</v>
      </c>
      <c r="F8" s="5">
        <v>1470</v>
      </c>
      <c r="G8" s="5">
        <v>14327.899999999998</v>
      </c>
      <c r="H8" s="5">
        <v>364</v>
      </c>
      <c r="I8" s="5">
        <v>4263.732</v>
      </c>
      <c r="J8" s="9">
        <f>SUM(F8:I8)</f>
        <v>20425.631999999998</v>
      </c>
      <c r="K8" s="5">
        <v>15.68</v>
      </c>
      <c r="L8" s="5">
        <v>509.02800000000002</v>
      </c>
      <c r="M8" s="9">
        <f>SUM(K8:L8)</f>
        <v>524.70799999999997</v>
      </c>
      <c r="N8" s="5">
        <v>844.65000000000009</v>
      </c>
      <c r="O8" s="5">
        <v>369.22</v>
      </c>
      <c r="P8" s="9">
        <f>SUM(E8+J8+M8+N8+O8)</f>
        <v>25242.318111111112</v>
      </c>
      <c r="AE8" s="10">
        <f t="shared" si="11"/>
        <v>9080.4181111111102</v>
      </c>
      <c r="AF8" s="5">
        <f t="shared" si="12"/>
        <v>16161.899999999998</v>
      </c>
      <c r="AG8" s="10">
        <f t="shared" si="13"/>
        <v>25242.318111111108</v>
      </c>
      <c r="AK8" s="10">
        <f t="shared" si="15"/>
        <v>1994.7080000000001</v>
      </c>
      <c r="AL8" s="10">
        <f t="shared" si="16"/>
        <v>23247.610111111113</v>
      </c>
      <c r="AM8" s="10">
        <f t="shared" si="17"/>
        <v>25242.318111111112</v>
      </c>
      <c r="AQ8" s="5">
        <v>4746</v>
      </c>
      <c r="AR8" s="5">
        <f t="shared" si="2"/>
        <v>69766.2</v>
      </c>
      <c r="AS8" s="5">
        <v>148749.08333333334</v>
      </c>
      <c r="AT8" s="5">
        <f t="shared" si="21"/>
        <v>78982.883333333346</v>
      </c>
      <c r="AU8" s="17">
        <f t="shared" si="3"/>
        <v>5.8928456046933846</v>
      </c>
      <c r="AV8" s="17">
        <f t="shared" si="4"/>
        <v>2.7638586794170243</v>
      </c>
      <c r="AW8" s="17"/>
      <c r="AX8" s="17"/>
      <c r="AY8" s="17"/>
      <c r="BA8" s="17">
        <f>(BA7-BA2)/BA2</f>
        <v>0.15536090621707069</v>
      </c>
      <c r="BC8" s="17">
        <f>(BC7-BC2)/BC2</f>
        <v>0.13262118444298845</v>
      </c>
      <c r="BD8" s="5">
        <f>AVERAGE(BC5:BC7)</f>
        <v>88582.751851851834</v>
      </c>
    </row>
    <row r="9" spans="1:57" ht="14.45" x14ac:dyDescent="0.35">
      <c r="A9">
        <v>2</v>
      </c>
      <c r="B9">
        <v>2</v>
      </c>
      <c r="C9" s="5">
        <v>2228.2002222222222</v>
      </c>
      <c r="D9" s="5">
        <v>849.90788888888881</v>
      </c>
      <c r="E9" s="9">
        <f t="shared" si="6"/>
        <v>3078.1081111111112</v>
      </c>
      <c r="F9" s="5">
        <v>1470</v>
      </c>
      <c r="G9" s="5">
        <v>14327.899999999998</v>
      </c>
      <c r="H9" s="5">
        <v>364</v>
      </c>
      <c r="I9" s="5">
        <v>4263.732</v>
      </c>
      <c r="J9" s="9">
        <f t="shared" si="7"/>
        <v>20425.631999999998</v>
      </c>
      <c r="K9" s="5">
        <v>15.68</v>
      </c>
      <c r="L9" s="5">
        <v>509.02800000000002</v>
      </c>
      <c r="M9" s="9">
        <f t="shared" si="8"/>
        <v>524.70799999999997</v>
      </c>
      <c r="N9" s="5">
        <v>844.65000000000009</v>
      </c>
      <c r="O9" s="5">
        <v>369.22</v>
      </c>
      <c r="P9" s="9">
        <f t="shared" si="9"/>
        <v>25242.318111111112</v>
      </c>
      <c r="AE9" s="10">
        <f t="shared" si="11"/>
        <v>9080.4181111111102</v>
      </c>
      <c r="AF9" s="5">
        <f t="shared" si="12"/>
        <v>16161.899999999998</v>
      </c>
      <c r="AG9" s="10">
        <f t="shared" si="13"/>
        <v>25242.318111111108</v>
      </c>
      <c r="AK9" s="10">
        <f t="shared" si="15"/>
        <v>1994.7080000000001</v>
      </c>
      <c r="AL9" s="10">
        <f t="shared" si="16"/>
        <v>23247.610111111113</v>
      </c>
      <c r="AM9" s="10">
        <f t="shared" si="17"/>
        <v>25242.318111111112</v>
      </c>
      <c r="AQ9" s="5">
        <v>5055</v>
      </c>
      <c r="AR9" s="5">
        <f t="shared" si="2"/>
        <v>74308.5</v>
      </c>
      <c r="AS9" s="5">
        <v>154712.33333333331</v>
      </c>
      <c r="AT9" s="5">
        <f t="shared" si="21"/>
        <v>80403.833333333314</v>
      </c>
      <c r="AU9" s="17">
        <f t="shared" si="3"/>
        <v>6.129085793639228</v>
      </c>
      <c r="AV9" s="17">
        <f t="shared" si="4"/>
        <v>2.9438064948278675</v>
      </c>
      <c r="AW9" s="17"/>
      <c r="AX9" s="17"/>
      <c r="AY9" s="17"/>
      <c r="BA9" s="17">
        <f>(BA6-BA2)/BA2</f>
        <v>0.1409378292939937</v>
      </c>
      <c r="BC9" s="17">
        <f>(BC6-BC2)/BC2</f>
        <v>0.1195948353446432</v>
      </c>
      <c r="BD9" s="58">
        <f>(BD8-BC2)/BC2</f>
        <v>0.11595498086510143</v>
      </c>
    </row>
    <row r="10" spans="1:57" ht="14.45" x14ac:dyDescent="0.35">
      <c r="A10">
        <v>2</v>
      </c>
      <c r="B10">
        <v>3</v>
      </c>
      <c r="C10" s="5">
        <v>1382.2123333333334</v>
      </c>
      <c r="D10" s="5">
        <v>594.1016666666668</v>
      </c>
      <c r="E10" s="9">
        <f t="shared" si="6"/>
        <v>1976.3140000000003</v>
      </c>
      <c r="F10" s="5">
        <v>1470</v>
      </c>
      <c r="G10" s="5">
        <v>12751.8</v>
      </c>
      <c r="H10" s="5">
        <v>352</v>
      </c>
      <c r="I10" s="5">
        <v>4263.732</v>
      </c>
      <c r="J10" s="9">
        <f t="shared" si="7"/>
        <v>18837.531999999999</v>
      </c>
      <c r="K10" s="5">
        <v>15.68</v>
      </c>
      <c r="L10" s="5">
        <v>501.18800000000005</v>
      </c>
      <c r="M10" s="9">
        <f t="shared" si="8"/>
        <v>516.86800000000005</v>
      </c>
      <c r="N10" s="5">
        <v>844.65000000000009</v>
      </c>
      <c r="O10" s="5">
        <v>369.22</v>
      </c>
      <c r="P10" s="9">
        <f t="shared" si="9"/>
        <v>22544.583999999999</v>
      </c>
      <c r="AE10" s="10">
        <f t="shared" si="11"/>
        <v>7970.7840000000006</v>
      </c>
      <c r="AF10" s="5">
        <f t="shared" si="12"/>
        <v>14573.8</v>
      </c>
      <c r="AG10" s="10">
        <f t="shared" si="13"/>
        <v>22544.583999999999</v>
      </c>
      <c r="AK10" s="10">
        <f t="shared" si="15"/>
        <v>1986.8680000000002</v>
      </c>
      <c r="AL10" s="10">
        <f t="shared" si="16"/>
        <v>20557.716</v>
      </c>
      <c r="AM10" s="10">
        <f t="shared" si="17"/>
        <v>22544.583999999999</v>
      </c>
      <c r="AQ10" s="5">
        <v>5380</v>
      </c>
      <c r="AR10" s="5">
        <f t="shared" si="2"/>
        <v>79086</v>
      </c>
      <c r="AS10" s="5">
        <v>161412.16666666666</v>
      </c>
      <c r="AT10" s="5">
        <f t="shared" si="21"/>
        <v>82326.166666666657</v>
      </c>
      <c r="AU10" s="17">
        <f t="shared" si="3"/>
        <v>7.159687074583708</v>
      </c>
      <c r="AV10" s="17">
        <f t="shared" si="4"/>
        <v>3.5079822275718198</v>
      </c>
      <c r="AW10" s="17"/>
      <c r="AX10" s="17"/>
      <c r="AY10" s="17"/>
      <c r="BA10" s="17">
        <f>(BA5-BA2)/BA2</f>
        <v>0.11334299262381467</v>
      </c>
      <c r="BC10" s="17">
        <f>(BC5-BC2)/BC2</f>
        <v>9.5648922807672856E-2</v>
      </c>
    </row>
    <row r="11" spans="1:57" ht="14.45" x14ac:dyDescent="0.35">
      <c r="A11">
        <v>2</v>
      </c>
      <c r="B11">
        <v>4</v>
      </c>
      <c r="C11" s="5"/>
      <c r="D11" s="5">
        <v>892.36505555555561</v>
      </c>
      <c r="E11" s="9">
        <f t="shared" si="6"/>
        <v>892.36505555555561</v>
      </c>
      <c r="F11" s="5">
        <v>1470</v>
      </c>
      <c r="G11" s="5">
        <v>12751.8</v>
      </c>
      <c r="H11" s="5">
        <v>462</v>
      </c>
      <c r="I11" s="5">
        <v>3429.0741600000001</v>
      </c>
      <c r="J11" s="9">
        <f t="shared" si="7"/>
        <v>18112.874159999999</v>
      </c>
      <c r="K11" s="5">
        <v>0</v>
      </c>
      <c r="L11" s="5">
        <v>414.32823999999994</v>
      </c>
      <c r="M11" s="9">
        <f t="shared" si="8"/>
        <v>414.32823999999994</v>
      </c>
      <c r="N11" s="5">
        <v>844.65000000000009</v>
      </c>
      <c r="O11" s="5">
        <v>369.22</v>
      </c>
      <c r="P11" s="9">
        <f t="shared" si="9"/>
        <v>20633.437455555555</v>
      </c>
      <c r="AE11" s="10">
        <f t="shared" si="11"/>
        <v>5949.6374555555558</v>
      </c>
      <c r="AF11" s="5">
        <f t="shared" si="12"/>
        <v>14683.8</v>
      </c>
      <c r="AG11" s="10">
        <f t="shared" si="13"/>
        <v>20633.437455555555</v>
      </c>
      <c r="AK11" s="10">
        <f t="shared" si="15"/>
        <v>1884.3282399999998</v>
      </c>
      <c r="AL11" s="10">
        <f t="shared" si="16"/>
        <v>18749.10921555556</v>
      </c>
      <c r="AM11" s="10">
        <f t="shared" si="17"/>
        <v>20633.437455555559</v>
      </c>
      <c r="AQ11" s="5">
        <v>5542</v>
      </c>
      <c r="AR11" s="5">
        <f t="shared" si="2"/>
        <v>81467.399999999994</v>
      </c>
      <c r="AS11" s="5">
        <v>170043.5</v>
      </c>
      <c r="AT11" s="5">
        <f t="shared" si="21"/>
        <v>88576.1</v>
      </c>
      <c r="AU11" s="17">
        <f t="shared" si="3"/>
        <v>8.2411619666511626</v>
      </c>
      <c r="AV11" s="17">
        <f t="shared" si="4"/>
        <v>3.9483193324176273</v>
      </c>
      <c r="AW11" s="17"/>
      <c r="AX11" s="17"/>
      <c r="AY11" s="17"/>
      <c r="BA11" s="17">
        <f>AVERAGE(BA8:BA10)</f>
        <v>0.13654724271162635</v>
      </c>
      <c r="BC11" s="58">
        <f>AVERAGE(BC8:BC10)</f>
        <v>0.11595498086510149</v>
      </c>
    </row>
    <row r="12" spans="1:57" ht="14.45" x14ac:dyDescent="0.35">
      <c r="A12">
        <v>2</v>
      </c>
      <c r="B12">
        <v>5</v>
      </c>
      <c r="C12" s="5">
        <v>0</v>
      </c>
      <c r="D12" s="5">
        <v>892.36505555555561</v>
      </c>
      <c r="E12" s="9">
        <f t="shared" si="6"/>
        <v>892.36505555555561</v>
      </c>
      <c r="F12" s="5">
        <v>1470</v>
      </c>
      <c r="G12" s="5">
        <v>11896.389333333333</v>
      </c>
      <c r="H12" s="5">
        <v>462</v>
      </c>
      <c r="I12" s="5">
        <v>3429.0741600000001</v>
      </c>
      <c r="J12" s="9">
        <f t="shared" si="7"/>
        <v>17257.463493333333</v>
      </c>
      <c r="K12" s="5">
        <v>0</v>
      </c>
      <c r="L12" s="5">
        <v>414.32823999999994</v>
      </c>
      <c r="M12" s="9">
        <f t="shared" si="8"/>
        <v>414.32823999999994</v>
      </c>
      <c r="N12" s="5">
        <v>844.65000000000009</v>
      </c>
      <c r="O12" s="5">
        <v>369.22</v>
      </c>
      <c r="P12" s="9">
        <f t="shared" si="9"/>
        <v>19778.026788888888</v>
      </c>
      <c r="AE12" s="10">
        <f t="shared" si="11"/>
        <v>5949.6374555555558</v>
      </c>
      <c r="AF12" s="5">
        <f t="shared" si="12"/>
        <v>13828.389333333333</v>
      </c>
      <c r="AG12" s="10">
        <f t="shared" si="13"/>
        <v>19778.026788888888</v>
      </c>
      <c r="AK12" s="10">
        <f t="shared" si="15"/>
        <v>1884.3282399999998</v>
      </c>
      <c r="AL12" s="10">
        <f t="shared" si="16"/>
        <v>17893.698548888889</v>
      </c>
      <c r="AM12" s="10">
        <f t="shared" si="17"/>
        <v>19778.026788888888</v>
      </c>
      <c r="AQ12" s="5">
        <v>5591</v>
      </c>
      <c r="AR12" s="5">
        <f t="shared" si="2"/>
        <v>82187.7</v>
      </c>
      <c r="AS12" s="5">
        <v>171885.16666666666</v>
      </c>
      <c r="AT12" s="5">
        <f t="shared" si="21"/>
        <v>89697.46666666666</v>
      </c>
      <c r="AU12" s="17">
        <f t="shared" si="3"/>
        <v>8.6907136137175289</v>
      </c>
      <c r="AV12" s="17">
        <f t="shared" si="4"/>
        <v>4.1555055454860783</v>
      </c>
      <c r="AW12" s="17"/>
      <c r="AX12" s="17"/>
      <c r="AY12" s="17"/>
    </row>
    <row r="13" spans="1:57" ht="14.45" x14ac:dyDescent="0.35">
      <c r="A13">
        <v>2</v>
      </c>
      <c r="B13">
        <v>6</v>
      </c>
      <c r="C13" s="5">
        <v>0</v>
      </c>
      <c r="D13" s="5">
        <v>892.36505555555561</v>
      </c>
      <c r="E13" s="9">
        <f t="shared" si="6"/>
        <v>892.36505555555561</v>
      </c>
      <c r="F13" s="5">
        <v>1470</v>
      </c>
      <c r="G13" s="5">
        <v>11117.9792</v>
      </c>
      <c r="H13" s="5">
        <v>462</v>
      </c>
      <c r="I13" s="5">
        <v>3429.0741600000001</v>
      </c>
      <c r="J13" s="9">
        <f t="shared" si="7"/>
        <v>16479.053359999998</v>
      </c>
      <c r="K13" s="5">
        <v>0</v>
      </c>
      <c r="L13" s="5">
        <v>414.32823999999994</v>
      </c>
      <c r="M13" s="9">
        <f t="shared" si="8"/>
        <v>414.32823999999994</v>
      </c>
      <c r="N13" s="5">
        <v>844.65000000000009</v>
      </c>
      <c r="O13" s="5">
        <v>369.22</v>
      </c>
      <c r="P13" s="9">
        <f t="shared" si="9"/>
        <v>18999.616655555554</v>
      </c>
      <c r="AE13" s="10">
        <f t="shared" si="11"/>
        <v>5949.6374555555558</v>
      </c>
      <c r="AF13" s="5">
        <f t="shared" si="12"/>
        <v>13049.9792</v>
      </c>
      <c r="AG13" s="10">
        <f t="shared" si="13"/>
        <v>18999.616655555554</v>
      </c>
      <c r="AK13" s="10">
        <f t="shared" si="15"/>
        <v>1884.3282399999998</v>
      </c>
      <c r="AL13" s="10">
        <f t="shared" si="16"/>
        <v>17115.288415555558</v>
      </c>
      <c r="AM13" s="10">
        <f t="shared" si="17"/>
        <v>18999.616655555557</v>
      </c>
      <c r="AQ13" s="5">
        <v>5701</v>
      </c>
      <c r="AR13" s="5">
        <f t="shared" si="2"/>
        <v>83804.7</v>
      </c>
      <c r="AS13" s="5">
        <v>173062.5</v>
      </c>
      <c r="AT13" s="5">
        <f t="shared" si="21"/>
        <v>89257.8</v>
      </c>
      <c r="AU13" s="17">
        <f t="shared" si="3"/>
        <v>9.1087364096578174</v>
      </c>
      <c r="AV13" s="17">
        <f t="shared" si="4"/>
        <v>4.4108626778790931</v>
      </c>
      <c r="AW13" s="17"/>
      <c r="AX13" s="17"/>
      <c r="AY13" s="17"/>
    </row>
    <row r="14" spans="1:57" ht="14.45" x14ac:dyDescent="0.35">
      <c r="A14">
        <v>3</v>
      </c>
      <c r="B14">
        <v>1</v>
      </c>
      <c r="C14" s="5">
        <v>2228.2002222222222</v>
      </c>
      <c r="D14" s="5">
        <v>849.90788888888881</v>
      </c>
      <c r="E14" s="9">
        <f>SUM(C14:D14)</f>
        <v>3078.1081111111112</v>
      </c>
      <c r="F14" s="5">
        <v>1470</v>
      </c>
      <c r="G14" s="5">
        <v>14327.899999999998</v>
      </c>
      <c r="H14" s="5">
        <v>364</v>
      </c>
      <c r="I14" s="5">
        <v>3715.9070400000001</v>
      </c>
      <c r="J14" s="9">
        <f>SUM(F14:I14)</f>
        <v>19877.80704</v>
      </c>
      <c r="K14" s="5">
        <v>15.68</v>
      </c>
      <c r="L14" s="5">
        <v>448.15856000000002</v>
      </c>
      <c r="M14" s="9">
        <f>SUM(K14:L14)</f>
        <v>463.83856000000003</v>
      </c>
      <c r="N14" s="5">
        <v>844.65000000000009</v>
      </c>
      <c r="O14" s="5">
        <v>369.22</v>
      </c>
      <c r="P14" s="9">
        <f>SUM(E14+J14+M14+N14+O14)</f>
        <v>24633.623711111115</v>
      </c>
      <c r="AE14" s="10">
        <f t="shared" si="11"/>
        <v>8471.7237111111117</v>
      </c>
      <c r="AF14" s="5">
        <f t="shared" si="12"/>
        <v>16161.899999999998</v>
      </c>
      <c r="AG14" s="10">
        <f t="shared" si="13"/>
        <v>24633.623711111111</v>
      </c>
      <c r="AH14" s="60">
        <f>(AH2-AH7)/AH7</f>
        <v>0.51829460370081282</v>
      </c>
      <c r="AI14" s="60">
        <f>(AI2-AI7)/AI7</f>
        <v>0.26845978027836376</v>
      </c>
      <c r="AK14" s="10">
        <f t="shared" si="15"/>
        <v>1933.8385600000001</v>
      </c>
      <c r="AL14" s="10">
        <f t="shared" si="16"/>
        <v>22699.785151111115</v>
      </c>
      <c r="AM14" s="10">
        <f t="shared" si="17"/>
        <v>24633.623711111115</v>
      </c>
      <c r="AN14" s="60">
        <f>(AN2-AN7)/AN7</f>
        <v>5.07501400595778E-2</v>
      </c>
      <c r="AO14" s="60">
        <f>(AO2-AO7)/AO7</f>
        <v>0.37911412219868373</v>
      </c>
      <c r="AQ14" s="5">
        <v>5216</v>
      </c>
      <c r="AR14" s="5">
        <f t="shared" si="2"/>
        <v>76675.199999999997</v>
      </c>
      <c r="AS14" s="5">
        <v>154336.83333333331</v>
      </c>
      <c r="AT14" s="5">
        <f t="shared" si="21"/>
        <v>77661.633333333317</v>
      </c>
      <c r="AU14" s="17">
        <f t="shared" si="3"/>
        <v>6.2652915033251455</v>
      </c>
      <c r="AV14" s="17">
        <f t="shared" si="4"/>
        <v>3.1126236602134698</v>
      </c>
      <c r="AW14" s="17"/>
      <c r="AX14" s="17"/>
      <c r="AY14" s="17"/>
    </row>
    <row r="15" spans="1:57" ht="14.45" x14ac:dyDescent="0.35">
      <c r="A15">
        <v>3</v>
      </c>
      <c r="B15">
        <v>2</v>
      </c>
      <c r="C15" s="5">
        <v>2228.2002222222222</v>
      </c>
      <c r="D15" s="5">
        <v>849.90788888888881</v>
      </c>
      <c r="E15" s="9">
        <f t="shared" si="6"/>
        <v>3078.1081111111112</v>
      </c>
      <c r="F15" s="5">
        <v>1470</v>
      </c>
      <c r="G15" s="5">
        <v>14327.899999999998</v>
      </c>
      <c r="H15" s="5">
        <v>364</v>
      </c>
      <c r="I15" s="5">
        <v>3715.9070400000001</v>
      </c>
      <c r="J15" s="9">
        <f t="shared" si="7"/>
        <v>19877.80704</v>
      </c>
      <c r="K15" s="5">
        <v>15.68</v>
      </c>
      <c r="L15" s="5">
        <v>448.15856000000002</v>
      </c>
      <c r="M15" s="9">
        <f t="shared" si="8"/>
        <v>463.83856000000003</v>
      </c>
      <c r="N15" s="5">
        <v>844.65000000000009</v>
      </c>
      <c r="O15" s="5">
        <v>369.22</v>
      </c>
      <c r="P15" s="9">
        <f t="shared" si="9"/>
        <v>24633.623711111115</v>
      </c>
      <c r="AE15" s="10">
        <f t="shared" si="11"/>
        <v>8471.7237111111117</v>
      </c>
      <c r="AF15" s="5">
        <f t="shared" si="12"/>
        <v>16161.899999999998</v>
      </c>
      <c r="AG15" s="10">
        <f t="shared" si="13"/>
        <v>24633.623711111111</v>
      </c>
      <c r="AH15" s="17">
        <f>(AH2-AH6)/AH6</f>
        <v>0.51829460370081282</v>
      </c>
      <c r="AI15" s="17">
        <f>(AI2-AI6)/AI6</f>
        <v>0.19458600790781461</v>
      </c>
      <c r="AK15" s="10">
        <f t="shared" si="15"/>
        <v>1933.8385600000001</v>
      </c>
      <c r="AL15" s="10">
        <f t="shared" si="16"/>
        <v>22699.785151111115</v>
      </c>
      <c r="AM15" s="10">
        <f t="shared" si="17"/>
        <v>24633.623711111115</v>
      </c>
      <c r="AN15" s="17">
        <f>(AN2-AN6)/AN6</f>
        <v>5.07501400595778E-2</v>
      </c>
      <c r="AO15" s="17">
        <f>(AO2-AO6)/AO6</f>
        <v>0.31666800984551741</v>
      </c>
      <c r="AQ15" s="5">
        <v>5104</v>
      </c>
      <c r="AR15" s="5">
        <f t="shared" si="2"/>
        <v>75028.800000000003</v>
      </c>
      <c r="AS15" s="5">
        <v>152671.5</v>
      </c>
      <c r="AT15" s="5">
        <f t="shared" si="21"/>
        <v>77642.7</v>
      </c>
      <c r="AU15" s="17">
        <f t="shared" si="3"/>
        <v>6.1976874287941968</v>
      </c>
      <c r="AV15" s="17">
        <f t="shared" si="4"/>
        <v>3.0457881828469233</v>
      </c>
      <c r="AW15" s="17"/>
      <c r="AX15" s="17"/>
      <c r="AY15" s="17"/>
    </row>
    <row r="16" spans="1:57" ht="14.45" x14ac:dyDescent="0.35">
      <c r="A16">
        <v>3</v>
      </c>
      <c r="B16">
        <v>3</v>
      </c>
      <c r="C16" s="5">
        <v>1382.2123333333334</v>
      </c>
      <c r="D16" s="5">
        <v>594.1016666666668</v>
      </c>
      <c r="E16" s="9">
        <f t="shared" si="6"/>
        <v>1976.3140000000003</v>
      </c>
      <c r="F16" s="5">
        <v>1470</v>
      </c>
      <c r="G16" s="5">
        <v>12751.8</v>
      </c>
      <c r="H16" s="5">
        <v>352</v>
      </c>
      <c r="I16" s="5">
        <v>3641.8300799999997</v>
      </c>
      <c r="J16" s="9">
        <f t="shared" si="7"/>
        <v>18215.630079999999</v>
      </c>
      <c r="K16" s="5">
        <v>15.68</v>
      </c>
      <c r="L16" s="5">
        <v>432.08778666666672</v>
      </c>
      <c r="M16" s="9">
        <f t="shared" si="8"/>
        <v>447.76778666666672</v>
      </c>
      <c r="N16" s="5">
        <v>844.65000000000009</v>
      </c>
      <c r="O16" s="5">
        <v>369.22</v>
      </c>
      <c r="P16" s="9">
        <f t="shared" si="9"/>
        <v>21853.581866666671</v>
      </c>
      <c r="AE16" s="10">
        <f t="shared" si="11"/>
        <v>7279.7818666666672</v>
      </c>
      <c r="AF16" s="5">
        <f t="shared" si="12"/>
        <v>14573.8</v>
      </c>
      <c r="AG16" s="10">
        <f t="shared" si="13"/>
        <v>21853.581866666667</v>
      </c>
      <c r="AH16" s="17">
        <f>(AH2-AH5)/AH5</f>
        <v>0.51829460370081282</v>
      </c>
      <c r="AI16" s="17">
        <f>(AI2-AI5)/AI5</f>
        <v>0.10066195399011171</v>
      </c>
      <c r="AJ16" s="17">
        <f>AVERAGE(AI14:AI16)</f>
        <v>0.18790258072543001</v>
      </c>
      <c r="AK16" s="10">
        <f t="shared" si="15"/>
        <v>1917.7677866666668</v>
      </c>
      <c r="AL16" s="10">
        <f t="shared" si="16"/>
        <v>19935.814080000004</v>
      </c>
      <c r="AM16" s="10">
        <f t="shared" si="17"/>
        <v>21853.581866666671</v>
      </c>
      <c r="AN16" s="17">
        <f>(AN2-AN5)/AN5</f>
        <v>5.07501400595778E-2</v>
      </c>
      <c r="AO16" s="17">
        <f>(AO2-AO5)/AO5</f>
        <v>0.23474749852108978</v>
      </c>
      <c r="AP16" s="17">
        <f>AVERAGE(AO14:AO16)</f>
        <v>0.31017654352176366</v>
      </c>
      <c r="AQ16" s="5">
        <v>5470</v>
      </c>
      <c r="AR16" s="5">
        <f t="shared" si="2"/>
        <v>80409</v>
      </c>
      <c r="AS16" s="5">
        <v>163166.63333333336</v>
      </c>
      <c r="AT16" s="5">
        <f t="shared" si="21"/>
        <v>82757.63333333336</v>
      </c>
      <c r="AU16" s="17">
        <f t="shared" si="3"/>
        <v>7.4663565144079138</v>
      </c>
      <c r="AV16" s="17">
        <f t="shared" si="4"/>
        <v>3.6794425962111075</v>
      </c>
      <c r="AW16" s="17"/>
      <c r="AX16" s="17"/>
      <c r="AY16" s="17"/>
    </row>
    <row r="17" spans="1:51" ht="14.45" x14ac:dyDescent="0.35">
      <c r="A17">
        <v>3</v>
      </c>
      <c r="B17">
        <v>4</v>
      </c>
      <c r="C17" s="5"/>
      <c r="D17" s="5">
        <v>892.36505555555561</v>
      </c>
      <c r="E17" s="9">
        <f t="shared" si="6"/>
        <v>892.36505555555561</v>
      </c>
      <c r="F17" s="5">
        <v>1470</v>
      </c>
      <c r="G17" s="5">
        <v>12751.8</v>
      </c>
      <c r="H17" s="5">
        <v>462</v>
      </c>
      <c r="I17" s="5">
        <v>3275.7520799999998</v>
      </c>
      <c r="J17" s="9">
        <f t="shared" si="7"/>
        <v>17959.552079999998</v>
      </c>
      <c r="K17" s="5">
        <v>0</v>
      </c>
      <c r="L17" s="5">
        <v>397.2924533333333</v>
      </c>
      <c r="M17" s="9">
        <f t="shared" si="8"/>
        <v>397.2924533333333</v>
      </c>
      <c r="N17" s="5">
        <v>844.65000000000009</v>
      </c>
      <c r="O17" s="5">
        <v>369.22</v>
      </c>
      <c r="P17" s="9">
        <f t="shared" si="9"/>
        <v>20463.079588888886</v>
      </c>
      <c r="AE17" s="10">
        <f t="shared" si="11"/>
        <v>5779.2795888888895</v>
      </c>
      <c r="AF17" s="5">
        <f t="shared" si="12"/>
        <v>14683.8</v>
      </c>
      <c r="AG17" s="10">
        <f t="shared" si="13"/>
        <v>20463.07958888889</v>
      </c>
      <c r="AH17" s="17">
        <f>(AH2-AH4)/AH2</f>
        <v>0.1398389982777023</v>
      </c>
      <c r="AI17" s="17">
        <f>(AI2-AI4)/AI2</f>
        <v>9.8261961774296483E-2</v>
      </c>
      <c r="AK17" s="10">
        <f t="shared" si="15"/>
        <v>1867.2924533333332</v>
      </c>
      <c r="AL17" s="10">
        <f t="shared" si="16"/>
        <v>18595.787135555558</v>
      </c>
      <c r="AM17" s="10">
        <f t="shared" si="17"/>
        <v>20463.07958888889</v>
      </c>
      <c r="AN17" s="17">
        <f>(AN2-AN4)/AN2</f>
        <v>9.5222836024367093E-3</v>
      </c>
      <c r="AO17" s="17">
        <f>(AO2-AO4)/AO2</f>
        <v>0.12164393021594501</v>
      </c>
      <c r="AQ17" s="5">
        <v>5624</v>
      </c>
      <c r="AR17" s="5">
        <f t="shared" si="2"/>
        <v>82672.800000000003</v>
      </c>
      <c r="AS17" s="5">
        <v>167094.66666666663</v>
      </c>
      <c r="AT17" s="5">
        <f t="shared" si="21"/>
        <v>84421.866666666625</v>
      </c>
      <c r="AU17" s="17">
        <f t="shared" si="3"/>
        <v>8.1656656780730223</v>
      </c>
      <c r="AV17" s="17">
        <f t="shared" si="4"/>
        <v>4.0400957070454808</v>
      </c>
      <c r="AW17" s="17"/>
      <c r="AX17" s="17"/>
      <c r="AY17" s="17"/>
    </row>
    <row r="18" spans="1:51" ht="14.45" x14ac:dyDescent="0.35">
      <c r="A18">
        <v>3</v>
      </c>
      <c r="B18">
        <v>5</v>
      </c>
      <c r="C18" s="5">
        <v>0</v>
      </c>
      <c r="D18" s="5">
        <v>892.36505555555561</v>
      </c>
      <c r="E18" s="9">
        <f t="shared" si="6"/>
        <v>892.36505555555561</v>
      </c>
      <c r="F18" s="5">
        <v>1470</v>
      </c>
      <c r="G18" s="5">
        <v>11497.344666666668</v>
      </c>
      <c r="H18" s="5">
        <v>462</v>
      </c>
      <c r="I18" s="5">
        <v>3275.7520799999998</v>
      </c>
      <c r="J18" s="9">
        <f t="shared" si="7"/>
        <v>16705.096746666666</v>
      </c>
      <c r="K18" s="5">
        <v>0</v>
      </c>
      <c r="L18" s="5">
        <v>397.2924533333333</v>
      </c>
      <c r="M18" s="9">
        <f t="shared" si="8"/>
        <v>397.2924533333333</v>
      </c>
      <c r="N18" s="5">
        <v>844.65000000000009</v>
      </c>
      <c r="O18" s="5">
        <v>369.22</v>
      </c>
      <c r="P18" s="9">
        <f t="shared" si="9"/>
        <v>19208.624255555555</v>
      </c>
      <c r="AE18" s="10">
        <f t="shared" si="11"/>
        <v>5779.2795888888895</v>
      </c>
      <c r="AF18" s="5">
        <f t="shared" si="12"/>
        <v>13429.344666666668</v>
      </c>
      <c r="AG18" s="10">
        <f t="shared" si="13"/>
        <v>19208.624255555558</v>
      </c>
      <c r="AK18" s="10">
        <f t="shared" si="15"/>
        <v>1867.2924533333332</v>
      </c>
      <c r="AL18" s="10">
        <f t="shared" si="16"/>
        <v>17341.331802222227</v>
      </c>
      <c r="AM18" s="10">
        <f t="shared" si="17"/>
        <v>19208.624255555558</v>
      </c>
      <c r="AQ18" s="5">
        <v>5844</v>
      </c>
      <c r="AR18" s="5">
        <f t="shared" si="2"/>
        <v>85906.8</v>
      </c>
      <c r="AS18" s="5">
        <v>172872.16666666663</v>
      </c>
      <c r="AT18" s="5">
        <f t="shared" si="21"/>
        <v>86965.366666666625</v>
      </c>
      <c r="AU18" s="17">
        <f t="shared" si="3"/>
        <v>8.9997161882464418</v>
      </c>
      <c r="AV18" s="17">
        <f t="shared" si="4"/>
        <v>4.4723036307586606</v>
      </c>
      <c r="AW18" s="17"/>
      <c r="AX18" s="17"/>
      <c r="AY18" s="17"/>
    </row>
    <row r="19" spans="1:51" ht="14.45" x14ac:dyDescent="0.35">
      <c r="A19">
        <v>3</v>
      </c>
      <c r="B19">
        <v>6</v>
      </c>
      <c r="C19" s="5">
        <v>0</v>
      </c>
      <c r="D19" s="5">
        <v>892.36505555555561</v>
      </c>
      <c r="E19" s="9">
        <f t="shared" si="6"/>
        <v>892.36505555555561</v>
      </c>
      <c r="F19" s="5">
        <v>1470</v>
      </c>
      <c r="G19" s="5">
        <v>10697.349999999999</v>
      </c>
      <c r="H19" s="5">
        <v>462</v>
      </c>
      <c r="I19" s="5">
        <v>3275.7520799999998</v>
      </c>
      <c r="J19" s="9">
        <f t="shared" si="7"/>
        <v>15905.102079999999</v>
      </c>
      <c r="K19" s="5">
        <v>0</v>
      </c>
      <c r="L19" s="5">
        <v>397.2924533333333</v>
      </c>
      <c r="M19" s="9">
        <f t="shared" si="8"/>
        <v>397.2924533333333</v>
      </c>
      <c r="N19" s="5">
        <v>844.65000000000009</v>
      </c>
      <c r="O19" s="5">
        <v>369.22</v>
      </c>
      <c r="P19" s="9">
        <f t="shared" si="9"/>
        <v>18408.629588888889</v>
      </c>
      <c r="AE19" s="10">
        <f t="shared" si="11"/>
        <v>5779.2795888888895</v>
      </c>
      <c r="AF19" s="5">
        <f t="shared" si="12"/>
        <v>12629.349999999999</v>
      </c>
      <c r="AG19" s="10">
        <f t="shared" si="13"/>
        <v>18408.629588888889</v>
      </c>
      <c r="AK19" s="10">
        <f t="shared" si="15"/>
        <v>1867.2924533333332</v>
      </c>
      <c r="AL19" s="10">
        <f t="shared" si="16"/>
        <v>16541.337135555554</v>
      </c>
      <c r="AM19" s="10">
        <f t="shared" si="17"/>
        <v>18408.629588888885</v>
      </c>
      <c r="AQ19" s="5">
        <v>5933</v>
      </c>
      <c r="AR19" s="5">
        <f t="shared" si="2"/>
        <v>87215.099999999991</v>
      </c>
      <c r="AS19" s="5">
        <v>175403.66666666666</v>
      </c>
      <c r="AT19" s="5">
        <f t="shared" si="21"/>
        <v>88188.566666666666</v>
      </c>
      <c r="AU19" s="17">
        <f t="shared" si="3"/>
        <v>9.5283391856902337</v>
      </c>
      <c r="AV19" s="17">
        <f t="shared" si="4"/>
        <v>4.737729094871975</v>
      </c>
      <c r="AW19" s="17"/>
      <c r="AX19" s="17"/>
      <c r="AY19" s="17"/>
    </row>
    <row r="20" spans="1:51" thickBot="1" x14ac:dyDescent="0.4">
      <c r="T20">
        <v>0</v>
      </c>
    </row>
    <row r="21" spans="1:51" ht="27.95" customHeight="1" x14ac:dyDescent="0.25">
      <c r="B21" s="70"/>
      <c r="C21" s="70" t="s">
        <v>126</v>
      </c>
      <c r="D21" s="70" t="s">
        <v>127</v>
      </c>
      <c r="E21" s="70" t="s">
        <v>128</v>
      </c>
      <c r="F21" s="39" t="s">
        <v>129</v>
      </c>
      <c r="G21" s="70" t="s">
        <v>14</v>
      </c>
      <c r="H21" s="70" t="s">
        <v>130</v>
      </c>
      <c r="I21" s="70"/>
      <c r="J21" s="70" t="s">
        <v>126</v>
      </c>
      <c r="K21" s="70" t="s">
        <v>127</v>
      </c>
      <c r="L21" s="70" t="s">
        <v>128</v>
      </c>
      <c r="M21" s="39" t="s">
        <v>129</v>
      </c>
      <c r="N21" s="70" t="s">
        <v>14</v>
      </c>
      <c r="O21" s="70" t="s">
        <v>130</v>
      </c>
      <c r="U21" s="5"/>
    </row>
    <row r="22" spans="1:51" ht="30.75" thickBot="1" x14ac:dyDescent="0.3">
      <c r="B22" s="71"/>
      <c r="C22" s="71"/>
      <c r="D22" s="71"/>
      <c r="E22" s="71"/>
      <c r="F22" s="42" t="s">
        <v>125</v>
      </c>
      <c r="G22" s="71"/>
      <c r="H22" s="71"/>
      <c r="I22" s="71"/>
      <c r="J22" s="71"/>
      <c r="K22" s="71"/>
      <c r="L22" s="71"/>
      <c r="M22" s="42" t="s">
        <v>125</v>
      </c>
      <c r="N22" s="71"/>
      <c r="O22" s="71"/>
    </row>
    <row r="23" spans="1:51" thickBot="1" x14ac:dyDescent="0.4">
      <c r="B23" s="65" t="s">
        <v>153</v>
      </c>
      <c r="C23" s="46">
        <f>(E2+E8+E14)/3</f>
        <v>3078.1081111111112</v>
      </c>
      <c r="D23" s="46">
        <f>(J2+J8+J14)/3</f>
        <v>20089.845159999997</v>
      </c>
      <c r="E23" s="46">
        <f>(M2+M8+M14)/3</f>
        <v>487.39835111111114</v>
      </c>
      <c r="F23" s="46">
        <f>(N2+N8+N14)/3</f>
        <v>844.65000000000009</v>
      </c>
      <c r="G23" s="46">
        <f>(O2+O8+O14)/3</f>
        <v>369.22</v>
      </c>
      <c r="H23" s="46">
        <f>SUM(C23:G23)</f>
        <v>24869.221622222223</v>
      </c>
      <c r="I23" s="65" t="s">
        <v>153</v>
      </c>
      <c r="J23" s="5">
        <f t="shared" ref="J23:J24" si="23">(C23*100)/H23</f>
        <v>12.377179140824524</v>
      </c>
      <c r="K23" s="5">
        <f t="shared" ref="K23:K27" si="24">(D23*100)/H23</f>
        <v>80.781961997750869</v>
      </c>
      <c r="L23" s="5">
        <f t="shared" ref="L23:L28" si="25">(E23*100)/H23</f>
        <v>1.9598456216884161</v>
      </c>
      <c r="M23" s="5">
        <f t="shared" ref="M23:M28" si="26">(F23*100)/H23</f>
        <v>3.3963668538996488</v>
      </c>
      <c r="N23" s="5">
        <f t="shared" ref="N23:N28" si="27">(G23*100)/H23</f>
        <v>1.4846463858365337</v>
      </c>
      <c r="O23" s="5">
        <f>SUM(J23:M23)</f>
        <v>98.515353614163459</v>
      </c>
    </row>
    <row r="24" spans="1:51" thickBot="1" x14ac:dyDescent="0.4">
      <c r="B24" s="67" t="s">
        <v>154</v>
      </c>
      <c r="C24" s="46">
        <f t="shared" ref="C24:C28" si="28">(E3+E9+E15)/3</f>
        <v>3078.1081111111112</v>
      </c>
      <c r="D24" s="46">
        <f t="shared" ref="D24:D27" si="29">(J3+J9+J15)/3</f>
        <v>20089.845159999997</v>
      </c>
      <c r="E24" s="46">
        <f t="shared" ref="E24:G28" si="30">(M3+M9+M15)/3</f>
        <v>487.39835111111114</v>
      </c>
      <c r="F24" s="46">
        <f t="shared" si="30"/>
        <v>844.65000000000009</v>
      </c>
      <c r="G24" s="46">
        <f t="shared" si="30"/>
        <v>369.22</v>
      </c>
      <c r="H24" s="46">
        <f t="shared" ref="H24:H28" si="31">SUM(C24:G24)</f>
        <v>24869.221622222223</v>
      </c>
      <c r="I24" s="67" t="s">
        <v>154</v>
      </c>
      <c r="J24" s="5">
        <f t="shared" si="23"/>
        <v>12.377179140824524</v>
      </c>
      <c r="K24" s="5">
        <f t="shared" si="24"/>
        <v>80.781961997750869</v>
      </c>
      <c r="L24" s="5">
        <f t="shared" si="25"/>
        <v>1.9598456216884161</v>
      </c>
      <c r="M24" s="5">
        <f t="shared" si="26"/>
        <v>3.3963668538996488</v>
      </c>
      <c r="N24" s="5">
        <f t="shared" si="27"/>
        <v>1.4846463858365337</v>
      </c>
      <c r="O24" s="5">
        <f t="shared" ref="O24:O28" si="32">SUM(J24:M24)</f>
        <v>98.515353614163459</v>
      </c>
    </row>
    <row r="25" spans="1:51" thickBot="1" x14ac:dyDescent="0.4">
      <c r="B25" s="67" t="s">
        <v>155</v>
      </c>
      <c r="C25" s="46">
        <f t="shared" si="28"/>
        <v>1976.3140000000003</v>
      </c>
      <c r="D25" s="46">
        <f t="shared" si="29"/>
        <v>18404.555040000003</v>
      </c>
      <c r="E25" s="46">
        <f t="shared" si="30"/>
        <v>468.75944888888898</v>
      </c>
      <c r="F25" s="46">
        <f t="shared" si="30"/>
        <v>844.65000000000009</v>
      </c>
      <c r="G25" s="46">
        <f t="shared" si="30"/>
        <v>369.22</v>
      </c>
      <c r="H25" s="46">
        <f t="shared" si="31"/>
        <v>22063.498488888898</v>
      </c>
      <c r="I25" s="67" t="s">
        <v>155</v>
      </c>
      <c r="J25" s="17">
        <f>(H23-H25)/H25</f>
        <v>0.12716583159947542</v>
      </c>
      <c r="K25" s="5">
        <f t="shared" si="24"/>
        <v>83.416304305812943</v>
      </c>
      <c r="L25" s="5">
        <f t="shared" si="25"/>
        <v>2.1245925668812435</v>
      </c>
      <c r="M25" s="5">
        <f t="shared" si="26"/>
        <v>3.8282686692926919</v>
      </c>
      <c r="N25" s="5">
        <f t="shared" si="27"/>
        <v>1.6734426781225922</v>
      </c>
      <c r="O25" s="5">
        <f t="shared" si="32"/>
        <v>89.496331373586358</v>
      </c>
    </row>
    <row r="26" spans="1:51" thickBot="1" x14ac:dyDescent="0.4">
      <c r="B26" s="67" t="s">
        <v>156</v>
      </c>
      <c r="C26" s="46">
        <f t="shared" si="28"/>
        <v>892.36505555555561</v>
      </c>
      <c r="D26" s="46">
        <f t="shared" si="29"/>
        <v>17919.642399999997</v>
      </c>
      <c r="E26" s="46">
        <f t="shared" si="30"/>
        <v>392.85804444444443</v>
      </c>
      <c r="F26" s="46">
        <f t="shared" si="30"/>
        <v>844.65000000000009</v>
      </c>
      <c r="G26" s="46">
        <f t="shared" si="30"/>
        <v>369.22</v>
      </c>
      <c r="H26" s="46">
        <f t="shared" si="31"/>
        <v>20418.735499999999</v>
      </c>
      <c r="I26" s="67" t="s">
        <v>156</v>
      </c>
      <c r="J26" s="17">
        <f>(H23-H26)/H26</f>
        <v>0.21796090762928119</v>
      </c>
      <c r="K26" s="5">
        <f t="shared" si="24"/>
        <v>87.760784207229676</v>
      </c>
      <c r="L26" s="5">
        <f t="shared" si="25"/>
        <v>1.9240077057878755</v>
      </c>
      <c r="M26" s="5">
        <f t="shared" si="26"/>
        <v>4.1366420560176227</v>
      </c>
      <c r="N26" s="5">
        <f t="shared" si="27"/>
        <v>1.8082412596019966</v>
      </c>
      <c r="O26" s="5">
        <f t="shared" si="32"/>
        <v>94.039394876664446</v>
      </c>
    </row>
    <row r="27" spans="1:51" thickBot="1" x14ac:dyDescent="0.4">
      <c r="B27" s="67" t="s">
        <v>157</v>
      </c>
      <c r="C27" s="46">
        <f t="shared" si="28"/>
        <v>892.36505555555561</v>
      </c>
      <c r="D27" s="46">
        <f t="shared" si="29"/>
        <v>16765.131955555553</v>
      </c>
      <c r="E27" s="46">
        <f t="shared" si="30"/>
        <v>392.85804444444443</v>
      </c>
      <c r="F27" s="46">
        <f t="shared" si="30"/>
        <v>844.65000000000009</v>
      </c>
      <c r="G27" s="46">
        <f t="shared" si="30"/>
        <v>369.22</v>
      </c>
      <c r="H27" s="46">
        <f t="shared" si="31"/>
        <v>19264.225055555555</v>
      </c>
      <c r="I27" s="67" t="s">
        <v>157</v>
      </c>
      <c r="J27" s="17">
        <f>(H23-H27)/H27</f>
        <v>0.29095364856372768</v>
      </c>
      <c r="K27" s="5">
        <f t="shared" si="24"/>
        <v>87.027284550544138</v>
      </c>
      <c r="L27" s="5">
        <f t="shared" si="25"/>
        <v>2.0393140306007234</v>
      </c>
      <c r="M27" s="5">
        <f t="shared" si="26"/>
        <v>4.3845521819026612</v>
      </c>
      <c r="N27" s="5">
        <f t="shared" si="27"/>
        <v>1.9166096686226248</v>
      </c>
      <c r="O27" s="5">
        <f t="shared" si="32"/>
        <v>93.742104411611251</v>
      </c>
    </row>
    <row r="28" spans="1:51" thickBot="1" x14ac:dyDescent="0.4">
      <c r="B28" s="67" t="s">
        <v>158</v>
      </c>
      <c r="C28" s="46">
        <f t="shared" si="28"/>
        <v>892.36505555555561</v>
      </c>
      <c r="D28" s="46">
        <f>(J7+J13+J19)/3</f>
        <v>15977.200266666665</v>
      </c>
      <c r="E28" s="46">
        <f>(M7+M13+M19)/3</f>
        <v>392.85804444444443</v>
      </c>
      <c r="F28" s="46">
        <f>(N7+N13+N19)/3</f>
        <v>844.65000000000009</v>
      </c>
      <c r="G28" s="46">
        <f t="shared" si="30"/>
        <v>369.22</v>
      </c>
      <c r="H28" s="46">
        <f t="shared" si="31"/>
        <v>18476.293366666669</v>
      </c>
      <c r="I28" s="67" t="s">
        <v>158</v>
      </c>
      <c r="J28" s="17">
        <f>(H23-H28)/H28</f>
        <v>0.34600707667313418</v>
      </c>
      <c r="K28" s="5"/>
      <c r="L28" s="5">
        <f t="shared" si="25"/>
        <v>2.1262816986506881</v>
      </c>
      <c r="M28" s="5">
        <f t="shared" si="26"/>
        <v>4.5715338203269962</v>
      </c>
      <c r="N28" s="5">
        <f t="shared" si="27"/>
        <v>1.9983445416931667</v>
      </c>
      <c r="O28" s="5">
        <f t="shared" si="32"/>
        <v>7.043822595650818</v>
      </c>
    </row>
    <row r="29" spans="1:51" thickBot="1" x14ac:dyDescent="0.4">
      <c r="C29" s="52">
        <f>(((C26+C27+C28)/3)-C23)/C23</f>
        <v>-0.71009301059492791</v>
      </c>
      <c r="D29" s="52">
        <f>(((D26+D27+D28)/3)-D23)/D23</f>
        <v>-0.15940990388031076</v>
      </c>
      <c r="H29" s="48">
        <f>AVERAGE(H26:H28)</f>
        <v>19386.417974074076</v>
      </c>
      <c r="I29" s="17">
        <f>(H23-H29)/H23</f>
        <v>0.22046543037957064</v>
      </c>
      <c r="K29" s="17">
        <f>(E23-E28)/E23</f>
        <v>0.19396927882736018</v>
      </c>
    </row>
    <row r="30" spans="1:51" ht="14.45" x14ac:dyDescent="0.35">
      <c r="B30" s="43"/>
      <c r="C30" s="48">
        <f>AVERAGE(C23:C28)</f>
        <v>1801.6042314814815</v>
      </c>
      <c r="D30" s="48">
        <f>AVERAGE(D23:D28)</f>
        <v>18207.703330370368</v>
      </c>
      <c r="E30" s="48">
        <f t="shared" ref="E30:G30" si="33">AVERAGE(E23:E28)</f>
        <v>437.02171407407405</v>
      </c>
      <c r="F30" s="48">
        <f t="shared" si="33"/>
        <v>844.65</v>
      </c>
      <c r="G30" s="48">
        <f t="shared" si="33"/>
        <v>369.22</v>
      </c>
      <c r="H30" s="48">
        <f>AVERAGE(H23:H29)</f>
        <v>21335.373375661376</v>
      </c>
      <c r="I30" s="48">
        <f>(D30*100)/H30</f>
        <v>85.34044851139592</v>
      </c>
      <c r="J30" s="56">
        <f>(D30*100)/H30</f>
        <v>85.34044851139592</v>
      </c>
    </row>
    <row r="31" spans="1:51" thickBot="1" x14ac:dyDescent="0.4">
      <c r="A31" s="17">
        <f>(D23-D28)/D23</f>
        <v>0.20471262274941956</v>
      </c>
      <c r="B31" s="44"/>
      <c r="C31" t="str">
        <f>C1</f>
        <v xml:space="preserve">Tillage </v>
      </c>
      <c r="D31" t="str">
        <f>D1</f>
        <v>Sowing</v>
      </c>
      <c r="E31" t="str">
        <f>F1</f>
        <v>Seed</v>
      </c>
      <c r="F31" t="str">
        <f>G1</f>
        <v>Fertilizers</v>
      </c>
      <c r="G31" t="str">
        <f>H1</f>
        <v>Pesticides</v>
      </c>
      <c r="H31" t="str">
        <f>I1</f>
        <v>Irrigation</v>
      </c>
      <c r="I31" t="str">
        <f>K1</f>
        <v>Weeding</v>
      </c>
      <c r="J31" t="str">
        <f>L1</f>
        <v>Inputs application</v>
      </c>
      <c r="K31" t="str">
        <f>N1</f>
        <v>Harvesting &amp; threshing</v>
      </c>
      <c r="L31" t="str">
        <f>O1</f>
        <v>Transportation</v>
      </c>
    </row>
    <row r="32" spans="1:51" thickBot="1" x14ac:dyDescent="0.4">
      <c r="A32" s="17">
        <f>(D23-D27)/D23</f>
        <v>0.16549222644404118</v>
      </c>
      <c r="B32" s="65" t="s">
        <v>153</v>
      </c>
      <c r="C32">
        <f>(C2+C8+C14)/3</f>
        <v>2228.2002222222222</v>
      </c>
      <c r="D32">
        <f>(D2+D8+D14)/3</f>
        <v>849.90788888888881</v>
      </c>
      <c r="E32">
        <f>(F2+F8+F14)/3</f>
        <v>1470</v>
      </c>
      <c r="F32" s="5">
        <f t="shared" ref="F32:H32" si="34">(G2+G8+G14)/3</f>
        <v>14327.9</v>
      </c>
      <c r="G32" s="5">
        <f t="shared" si="34"/>
        <v>364</v>
      </c>
      <c r="H32" s="5">
        <f t="shared" si="34"/>
        <v>3927.9451599999998</v>
      </c>
      <c r="I32">
        <f>(K2+K8+K14)/3</f>
        <v>15.68</v>
      </c>
      <c r="J32">
        <f>(L2+L8+L14)/3</f>
        <v>471.71835111111113</v>
      </c>
      <c r="K32">
        <f>(N2+N8+N14)/3</f>
        <v>844.65000000000009</v>
      </c>
      <c r="L32">
        <f>(O2+O8+O14)/3</f>
        <v>369.22</v>
      </c>
    </row>
    <row r="33" spans="1:26" thickBot="1" x14ac:dyDescent="0.4">
      <c r="A33" s="17">
        <f>(D23-D26)/D23</f>
        <v>0.10802486244747146</v>
      </c>
      <c r="B33" s="67" t="s">
        <v>154</v>
      </c>
      <c r="C33">
        <f t="shared" ref="C33:D37" si="35">(C3+C9+C15)/3</f>
        <v>2228.2002222222222</v>
      </c>
      <c r="D33">
        <f t="shared" si="35"/>
        <v>849.90788888888881</v>
      </c>
      <c r="E33">
        <f t="shared" ref="E33:H33" si="36">(F3+F9+F15)/3</f>
        <v>1470</v>
      </c>
      <c r="F33" s="5">
        <f t="shared" si="36"/>
        <v>14327.9</v>
      </c>
      <c r="G33" s="5">
        <f t="shared" si="36"/>
        <v>364</v>
      </c>
      <c r="H33" s="5">
        <f t="shared" si="36"/>
        <v>3927.9451599999998</v>
      </c>
      <c r="I33">
        <f t="shared" ref="I33:J33" si="37">(K3+K9+K15)/3</f>
        <v>15.68</v>
      </c>
      <c r="J33">
        <f t="shared" si="37"/>
        <v>471.71835111111113</v>
      </c>
      <c r="K33">
        <f t="shared" ref="K33:L33" si="38">(N3+N9+N15)/3</f>
        <v>844.65000000000009</v>
      </c>
      <c r="L33">
        <f t="shared" si="38"/>
        <v>369.22</v>
      </c>
      <c r="M33">
        <f>(C33-C32)/C32</f>
        <v>0</v>
      </c>
      <c r="N33">
        <f>(D33-D32)/D32</f>
        <v>0</v>
      </c>
      <c r="O33">
        <f>(E33-E32)/E32</f>
        <v>0</v>
      </c>
      <c r="P33">
        <f>(F33-F32)/F32</f>
        <v>0</v>
      </c>
      <c r="Q33">
        <f>(G33-G32)/G32</f>
        <v>0</v>
      </c>
      <c r="R33">
        <f t="shared" ref="R33:T33" si="39">(H33-H32)/H32</f>
        <v>0</v>
      </c>
      <c r="S33">
        <f t="shared" si="39"/>
        <v>0</v>
      </c>
      <c r="T33">
        <f t="shared" si="39"/>
        <v>0</v>
      </c>
    </row>
    <row r="34" spans="1:26" thickBot="1" x14ac:dyDescent="0.4">
      <c r="A34" s="17">
        <f>(D23-D25)/D23</f>
        <v>8.3887660983843759E-2</v>
      </c>
      <c r="B34" s="67" t="s">
        <v>155</v>
      </c>
      <c r="C34">
        <f t="shared" si="35"/>
        <v>1382.2123333333336</v>
      </c>
      <c r="D34">
        <f t="shared" si="35"/>
        <v>594.1016666666668</v>
      </c>
      <c r="E34">
        <f t="shared" ref="E34:H34" si="40">(F4+F10+F16)/3</f>
        <v>1470</v>
      </c>
      <c r="F34" s="5">
        <f t="shared" si="40"/>
        <v>12751.799999999997</v>
      </c>
      <c r="G34" s="5">
        <f t="shared" si="40"/>
        <v>352</v>
      </c>
      <c r="H34" s="5">
        <f t="shared" si="40"/>
        <v>3830.75504</v>
      </c>
      <c r="I34">
        <f t="shared" ref="I34:J34" si="41">(K4+K10+K16)/3</f>
        <v>15.68</v>
      </c>
      <c r="J34">
        <f t="shared" si="41"/>
        <v>453.07944888888892</v>
      </c>
      <c r="K34">
        <f t="shared" ref="K34:L34" si="42">(N4+N10+N16)/3</f>
        <v>844.65000000000009</v>
      </c>
      <c r="L34">
        <f t="shared" si="42"/>
        <v>369.22</v>
      </c>
      <c r="M34" s="5">
        <f>((C34-C32)/C32)*100</f>
        <v>-37.967319114849133</v>
      </c>
      <c r="N34" s="5">
        <f>((D34-D32)/D32)*100</f>
        <v>-30.098111285523601</v>
      </c>
      <c r="O34" s="5">
        <f>((E34-E32)/E32)*100</f>
        <v>0</v>
      </c>
      <c r="P34" s="5">
        <f>((F34-F32)/F32)*100</f>
        <v>-11.00021636108573</v>
      </c>
      <c r="Q34" s="5">
        <f>((G34-G32)/G32)*100</f>
        <v>-3.296703296703297</v>
      </c>
      <c r="R34" s="5">
        <f t="shared" ref="R34:T34" si="43">((H34-H32)/H32)*100</f>
        <v>-2.4743247688315426</v>
      </c>
      <c r="S34" s="5">
        <f t="shared" si="43"/>
        <v>0</v>
      </c>
      <c r="T34" s="5">
        <f t="shared" si="43"/>
        <v>-3.951277744085878</v>
      </c>
      <c r="U34" s="5"/>
      <c r="V34" s="5"/>
      <c r="W34" s="5"/>
      <c r="X34" s="5"/>
      <c r="Y34" s="5"/>
      <c r="Z34" s="5"/>
    </row>
    <row r="35" spans="1:26" thickBot="1" x14ac:dyDescent="0.4">
      <c r="B35" s="67" t="s">
        <v>156</v>
      </c>
      <c r="C35">
        <f>(C5+C11+C17)/3</f>
        <v>0</v>
      </c>
      <c r="D35">
        <f t="shared" si="35"/>
        <v>892.36505555555561</v>
      </c>
      <c r="E35">
        <f t="shared" ref="E35:H35" si="44">(F5+F11+F17)/3</f>
        <v>1470</v>
      </c>
      <c r="F35" s="5">
        <f t="shared" si="44"/>
        <v>12751.799999999997</v>
      </c>
      <c r="G35" s="5">
        <f t="shared" si="44"/>
        <v>462</v>
      </c>
      <c r="H35" s="5">
        <f t="shared" si="44"/>
        <v>3235.8424</v>
      </c>
      <c r="I35">
        <f t="shared" ref="I35:J35" si="45">(K5+K11+K17)/3</f>
        <v>0</v>
      </c>
      <c r="J35">
        <f t="shared" si="45"/>
        <v>392.85804444444443</v>
      </c>
      <c r="K35">
        <f t="shared" ref="K35:L35" si="46">(N5+N11+N17)/3</f>
        <v>844.65000000000009</v>
      </c>
      <c r="L35">
        <f t="shared" si="46"/>
        <v>369.22</v>
      </c>
      <c r="M35">
        <f>((C35-C32)/C32)*100</f>
        <v>-100</v>
      </c>
      <c r="N35">
        <f>((D35-D32)/D32)*100</f>
        <v>4.9955021269625339</v>
      </c>
      <c r="O35">
        <f>((E35-E32)/E32)*100</f>
        <v>0</v>
      </c>
      <c r="P35">
        <f>((F35-F32)/F32)*100</f>
        <v>-11.00021636108573</v>
      </c>
      <c r="Q35">
        <f>((G35-G32)/G32)*100</f>
        <v>26.923076923076923</v>
      </c>
      <c r="R35">
        <f t="shared" ref="R35:T35" si="47">((H35-H32)/H32)*100</f>
        <v>-17.619970030335143</v>
      </c>
      <c r="S35">
        <f t="shared" si="47"/>
        <v>-100</v>
      </c>
      <c r="T35">
        <f t="shared" si="47"/>
        <v>-16.717667752572023</v>
      </c>
    </row>
    <row r="36" spans="1:26" thickBot="1" x14ac:dyDescent="0.4">
      <c r="B36" s="67" t="s">
        <v>157</v>
      </c>
      <c r="C36">
        <f t="shared" si="35"/>
        <v>0</v>
      </c>
      <c r="D36">
        <f t="shared" si="35"/>
        <v>892.36505555555561</v>
      </c>
      <c r="E36">
        <f t="shared" ref="E36:H36" si="48">(F6+F12+F18)/3</f>
        <v>1470</v>
      </c>
      <c r="F36" s="5">
        <f t="shared" si="48"/>
        <v>11597.289555555553</v>
      </c>
      <c r="G36" s="5">
        <f t="shared" si="48"/>
        <v>462</v>
      </c>
      <c r="H36" s="5">
        <f t="shared" si="48"/>
        <v>3235.8424</v>
      </c>
      <c r="I36">
        <f t="shared" ref="I36:J36" si="49">(K6+K12+K18)/3</f>
        <v>0</v>
      </c>
      <c r="J36">
        <f t="shared" si="49"/>
        <v>392.85804444444443</v>
      </c>
      <c r="K36">
        <f t="shared" ref="K36:L36" si="50">(N6+N12+N18)/3</f>
        <v>844.65000000000009</v>
      </c>
      <c r="L36">
        <f t="shared" si="50"/>
        <v>369.22</v>
      </c>
      <c r="M36">
        <f>((C36-C32)/C32)*100</f>
        <v>-100</v>
      </c>
      <c r="N36">
        <f>((D36-D32)/D32)*100</f>
        <v>4.9955021269625339</v>
      </c>
      <c r="O36">
        <f>((E36-E32)/E32)*100</f>
        <v>0</v>
      </c>
      <c r="P36">
        <f>((F36-F32)/F32)*100</f>
        <v>-19.057994852312245</v>
      </c>
      <c r="Q36">
        <f>((G36-G32)/G32)*100</f>
        <v>26.923076923076923</v>
      </c>
      <c r="R36">
        <f t="shared" ref="R36:T36" si="51">((H36-H32)/H32)*100</f>
        <v>-17.619970030335143</v>
      </c>
      <c r="S36">
        <f t="shared" si="51"/>
        <v>-100</v>
      </c>
      <c r="T36">
        <f t="shared" si="51"/>
        <v>-16.717667752572023</v>
      </c>
    </row>
    <row r="37" spans="1:26" thickBot="1" x14ac:dyDescent="0.4">
      <c r="B37" s="67" t="s">
        <v>158</v>
      </c>
      <c r="C37">
        <f t="shared" si="35"/>
        <v>0</v>
      </c>
      <c r="D37">
        <f t="shared" si="35"/>
        <v>892.36505555555561</v>
      </c>
      <c r="E37">
        <f t="shared" ref="E37:H37" si="52">(F7+F13+F19)/3</f>
        <v>1470</v>
      </c>
      <c r="F37" s="5">
        <f t="shared" si="52"/>
        <v>10809.357866666665</v>
      </c>
      <c r="G37" s="5">
        <f t="shared" si="52"/>
        <v>462</v>
      </c>
      <c r="H37" s="5">
        <f t="shared" si="52"/>
        <v>3235.8424</v>
      </c>
      <c r="I37">
        <f t="shared" ref="I37:J37" si="53">(K7+K13+K19)/3</f>
        <v>0</v>
      </c>
      <c r="J37">
        <f t="shared" si="53"/>
        <v>392.85804444444443</v>
      </c>
      <c r="K37">
        <f t="shared" ref="K37:L37" si="54">(N7+N13+N19)/3</f>
        <v>844.65000000000009</v>
      </c>
      <c r="L37">
        <f t="shared" si="54"/>
        <v>369.22</v>
      </c>
      <c r="M37">
        <f>((C37-C32)/C32)*100</f>
        <v>-100</v>
      </c>
      <c r="N37">
        <f t="shared" ref="N37:R37" si="55">((D37-D32)/D32)*100</f>
        <v>4.9955021269625339</v>
      </c>
      <c r="O37">
        <f t="shared" si="55"/>
        <v>0</v>
      </c>
      <c r="P37">
        <f t="shared" si="55"/>
        <v>-24.557277293485676</v>
      </c>
      <c r="Q37">
        <f t="shared" si="55"/>
        <v>26.923076923076923</v>
      </c>
      <c r="R37">
        <f t="shared" si="55"/>
        <v>-17.619970030335143</v>
      </c>
      <c r="S37">
        <f t="shared" ref="S37:T37" si="56">((I37-I32)/I32)*100</f>
        <v>-100</v>
      </c>
      <c r="T37">
        <f t="shared" si="56"/>
        <v>-16.717667752572023</v>
      </c>
    </row>
    <row r="38" spans="1:26" ht="14.45" x14ac:dyDescent="0.35">
      <c r="D38" s="5">
        <f>C32+H32</f>
        <v>6156.145382222222</v>
      </c>
      <c r="E38" s="5">
        <f>(D38*100)/H23</f>
        <v>24.754073431559743</v>
      </c>
      <c r="F38" s="5">
        <f>AVERAGE(F32:F37)</f>
        <v>12761.007903703701</v>
      </c>
      <c r="G38" s="5">
        <f t="shared" ref="G38:H38" si="57">AVERAGE(G32:G37)</f>
        <v>411</v>
      </c>
      <c r="H38" s="5">
        <f t="shared" si="57"/>
        <v>3565.6954266666667</v>
      </c>
      <c r="O38" s="54">
        <f>AVERAGE(O35:O37)</f>
        <v>0</v>
      </c>
      <c r="P38">
        <f>AVERAGE(P35:P37)</f>
        <v>-18.205162835627885</v>
      </c>
      <c r="Q38">
        <f>AVERAGE(Q35:Q37)</f>
        <v>26.923076923076923</v>
      </c>
      <c r="R38">
        <f>AVERAGE(R35:R37)</f>
        <v>-17.619970030335143</v>
      </c>
    </row>
    <row r="39" spans="1:26" ht="14.45" x14ac:dyDescent="0.35">
      <c r="D39" s="5">
        <f>H38</f>
        <v>3565.6954266666667</v>
      </c>
      <c r="E39" s="5">
        <f>(D39*100)/H24</f>
        <v>14.337784595077524</v>
      </c>
      <c r="F39" s="20">
        <f>(F38*100)/D30</f>
        <v>70.085763548324053</v>
      </c>
      <c r="G39" s="5">
        <f>(G38*100)/H30</f>
        <v>1.9263782862541978</v>
      </c>
      <c r="H39" s="5">
        <f>(H38*100)/H30</f>
        <v>16.712599137047601</v>
      </c>
      <c r="K39" s="5">
        <f>SUM(I32:J32)</f>
        <v>487.39835111111114</v>
      </c>
    </row>
    <row r="40" spans="1:26" ht="14.45" x14ac:dyDescent="0.35">
      <c r="H40" s="5">
        <f>(H38*100)/D30</f>
        <v>19.583444226703225</v>
      </c>
      <c r="J40">
        <f>SUM(C32:L32)</f>
        <v>24869.221622222223</v>
      </c>
    </row>
    <row r="41" spans="1:26" ht="14.45" x14ac:dyDescent="0.35">
      <c r="J41">
        <f t="shared" ref="J41:J45" si="58">SUM(C33:L33)</f>
        <v>24869.221622222223</v>
      </c>
    </row>
    <row r="42" spans="1:26" ht="14.45" x14ac:dyDescent="0.35">
      <c r="J42">
        <f t="shared" si="58"/>
        <v>22063.49848888889</v>
      </c>
    </row>
    <row r="43" spans="1:26" ht="14.45" x14ac:dyDescent="0.35">
      <c r="J43">
        <f t="shared" si="58"/>
        <v>20418.735500000003</v>
      </c>
    </row>
    <row r="44" spans="1:26" ht="14.45" x14ac:dyDescent="0.35">
      <c r="J44">
        <f t="shared" si="58"/>
        <v>19264.225055555558</v>
      </c>
    </row>
    <row r="45" spans="1:26" ht="14.45" x14ac:dyDescent="0.35">
      <c r="J45">
        <f t="shared" si="58"/>
        <v>18476.293366666669</v>
      </c>
    </row>
    <row r="46" spans="1:26" ht="14.45" x14ac:dyDescent="0.35">
      <c r="J46">
        <f>AVERAGE(J40:J45)</f>
        <v>21660.199275925926</v>
      </c>
    </row>
  </sheetData>
  <mergeCells count="12">
    <mergeCell ref="B21:B22"/>
    <mergeCell ref="G21:G22"/>
    <mergeCell ref="N21:N22"/>
    <mergeCell ref="J21:J22"/>
    <mergeCell ref="K21:K22"/>
    <mergeCell ref="L21:L22"/>
    <mergeCell ref="O21:O22"/>
    <mergeCell ref="C21:C22"/>
    <mergeCell ref="D21:D22"/>
    <mergeCell ref="E21:E22"/>
    <mergeCell ref="H21:H22"/>
    <mergeCell ref="I21:I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2"/>
  <sheetViews>
    <sheetView topLeftCell="A19" workbookViewId="0">
      <selection activeCell="H2" sqref="H2:H19"/>
    </sheetView>
  </sheetViews>
  <sheetFormatPr defaultRowHeight="15" x14ac:dyDescent="0.25"/>
  <cols>
    <col min="8" max="8" width="11.42578125" bestFit="1" customWidth="1"/>
    <col min="15" max="15" width="11.42578125" bestFit="1" customWidth="1"/>
    <col min="17" max="18" width="11.42578125" bestFit="1" customWidth="1"/>
    <col min="43" max="44" width="11.42578125" bestFit="1" customWidth="1"/>
    <col min="46" max="46" width="11.42578125" bestFit="1" customWidth="1"/>
    <col min="49" max="49" width="11.42578125" bestFit="1" customWidth="1"/>
  </cols>
  <sheetData>
    <row r="1" spans="1:45" ht="115.7" customHeight="1" x14ac:dyDescent="0.25">
      <c r="A1" s="1" t="s">
        <v>0</v>
      </c>
      <c r="B1" s="1" t="s">
        <v>1</v>
      </c>
      <c r="C1" s="38" t="s">
        <v>46</v>
      </c>
      <c r="D1" s="38" t="s">
        <v>53</v>
      </c>
      <c r="E1" s="38" t="s">
        <v>54</v>
      </c>
      <c r="F1" s="39" t="s">
        <v>124</v>
      </c>
      <c r="G1" s="38" t="s">
        <v>55</v>
      </c>
      <c r="H1" s="38" t="s">
        <v>56</v>
      </c>
      <c r="I1" s="49" t="s">
        <v>21</v>
      </c>
      <c r="J1" s="49" t="s">
        <v>24</v>
      </c>
      <c r="K1" s="49" t="s">
        <v>25</v>
      </c>
      <c r="L1" s="49" t="s">
        <v>26</v>
      </c>
      <c r="M1" s="49" t="s">
        <v>23</v>
      </c>
      <c r="N1" s="49" t="s">
        <v>52</v>
      </c>
      <c r="O1" s="49" t="s">
        <v>59</v>
      </c>
      <c r="P1" s="49" t="s">
        <v>60</v>
      </c>
      <c r="Q1" s="49" t="s">
        <v>44</v>
      </c>
      <c r="R1" s="49" t="s">
        <v>45</v>
      </c>
      <c r="AI1" s="14" t="s">
        <v>27</v>
      </c>
      <c r="AJ1" s="14" t="s">
        <v>28</v>
      </c>
      <c r="AK1" s="15" t="s">
        <v>29</v>
      </c>
      <c r="AL1" s="15" t="s">
        <v>30</v>
      </c>
      <c r="AM1" s="15" t="s">
        <v>31</v>
      </c>
      <c r="AN1" s="15" t="s">
        <v>35</v>
      </c>
      <c r="AO1" s="8" t="s">
        <v>42</v>
      </c>
      <c r="AP1" s="8" t="s">
        <v>43</v>
      </c>
      <c r="AQ1" s="15" t="s">
        <v>44</v>
      </c>
      <c r="AR1" s="8" t="s">
        <v>45</v>
      </c>
      <c r="AS1" s="22"/>
    </row>
    <row r="2" spans="1:45" thickBot="1" x14ac:dyDescent="0.4">
      <c r="A2">
        <v>1</v>
      </c>
      <c r="B2">
        <v>1</v>
      </c>
      <c r="C2" s="40">
        <f>(Rice!F2+Wheat!E2)</f>
        <v>7413.8688888888883</v>
      </c>
      <c r="D2" s="40">
        <f>Rice!K2+Wheat!J2</f>
        <v>56433.769239999994</v>
      </c>
      <c r="E2" s="40">
        <f>Rice!N2+Wheat!M2</f>
        <v>2811.2043600000006</v>
      </c>
      <c r="F2" s="41">
        <f>Rice!O2+Wheat!N2</f>
        <v>1970.8500000000001</v>
      </c>
      <c r="G2" s="41">
        <f>Rice!P2+Wheat!O2</f>
        <v>754.22</v>
      </c>
      <c r="H2" s="40">
        <f>(Rice!R2+Wheat!P2)</f>
        <v>69383.912488888891</v>
      </c>
      <c r="I2" s="50">
        <f>Rice!$S$2+Wheat!AE2</f>
        <v>36297.162488888898</v>
      </c>
      <c r="J2" s="5">
        <f>Rice!$T$2+Wheat!AF2</f>
        <v>33086.75</v>
      </c>
      <c r="K2" s="50">
        <f>Rice!$Y$2+Wheat!AK2</f>
        <v>4464.9543600000006</v>
      </c>
      <c r="L2" s="50">
        <f>Rice!$Z$2+Wheat!AL2</f>
        <v>64918.958128888888</v>
      </c>
      <c r="M2" s="50">
        <f>Rice!$R$2+Wheat!P2</f>
        <v>69383.912488888891</v>
      </c>
      <c r="N2" s="50">
        <f>Rice!AF2+Wheat!AR2</f>
        <v>174621.3</v>
      </c>
      <c r="O2" s="50">
        <f>Rice!AG2+Wheat!AS2</f>
        <v>376927.5033333333</v>
      </c>
      <c r="P2" s="50">
        <f>O2-M2</f>
        <v>307543.59084444441</v>
      </c>
      <c r="Q2" s="51">
        <f>N2/M2</f>
        <v>2.5167404623941287</v>
      </c>
      <c r="R2" s="51">
        <f>O2/M2</f>
        <v>5.4324913342656238</v>
      </c>
      <c r="U2">
        <f>(M2+M8+M14)/3</f>
        <v>69521.411066666667</v>
      </c>
      <c r="V2">
        <f>(N2+N8+N14)/3</f>
        <v>173268.9</v>
      </c>
      <c r="W2">
        <f>(O2+O8+O14)/3</f>
        <v>371241.45222222223</v>
      </c>
      <c r="X2">
        <f>(P2+P8+P14)/3</f>
        <v>301720.04115555558</v>
      </c>
      <c r="Y2">
        <f>(Q2+Q8+Q14)/3</f>
        <v>2.4926427989817994</v>
      </c>
      <c r="AI2" s="6">
        <f>Rice!S2+Wheat!AE2</f>
        <v>36297.162488888898</v>
      </c>
      <c r="AJ2" s="6">
        <f>Rice!T2+Wheat!AF2</f>
        <v>33086.75</v>
      </c>
      <c r="AK2" s="6">
        <f>Rice!Y2+Wheat!AK2</f>
        <v>4464.9543600000006</v>
      </c>
      <c r="AL2" s="6">
        <f>Rice!Z2+Wheat!AL2</f>
        <v>64918.958128888888</v>
      </c>
      <c r="AM2" s="6">
        <f>Rice!U2+Wheat!AG2</f>
        <v>69383.912488888891</v>
      </c>
      <c r="AN2" s="18">
        <f>Rice!AF2+Wheat!AR2</f>
        <v>174621.3</v>
      </c>
      <c r="AO2" s="9">
        <f>Rice!AG2+Wheat!AS2</f>
        <v>376927.5033333333</v>
      </c>
      <c r="AP2" s="9">
        <f>AO2-AM2</f>
        <v>307543.59084444441</v>
      </c>
      <c r="AQ2" s="16">
        <f>AN2/AM2</f>
        <v>2.5167404623941287</v>
      </c>
      <c r="AR2" s="16">
        <f t="shared" ref="AR2:AR19" si="0">AO2/AM2</f>
        <v>5.4324913342656238</v>
      </c>
      <c r="AS2" s="22"/>
    </row>
    <row r="3" spans="1:45" thickBot="1" x14ac:dyDescent="0.4">
      <c r="A3">
        <v>1</v>
      </c>
      <c r="B3">
        <v>2</v>
      </c>
      <c r="C3" s="40">
        <f>(Rice!F3+Wheat!E3)</f>
        <v>7413.8688888888883</v>
      </c>
      <c r="D3" s="40">
        <f>Rice!K3+Wheat!J3</f>
        <v>56433.769239999994</v>
      </c>
      <c r="E3" s="40">
        <f>Rice!N3+Wheat!M3</f>
        <v>2811.2043600000006</v>
      </c>
      <c r="F3" s="41">
        <f>Rice!O3+Wheat!N3</f>
        <v>1970.8500000000001</v>
      </c>
      <c r="G3" s="41">
        <f>Rice!P3+Wheat!O3</f>
        <v>754.22</v>
      </c>
      <c r="H3" s="40">
        <f>(Rice!R3+Wheat!P3)</f>
        <v>69383.912488888891</v>
      </c>
      <c r="I3" s="50">
        <f>Rice!$S$2+Wheat!AE3</f>
        <v>36297.162488888898</v>
      </c>
      <c r="J3" s="5">
        <f>Rice!$T$2+Wheat!AF3</f>
        <v>33086.75</v>
      </c>
      <c r="K3" s="50">
        <f>Rice!$Y$2+Wheat!AK3</f>
        <v>4464.9543600000006</v>
      </c>
      <c r="L3" s="50">
        <f>Rice!$Z$2+Wheat!AL3</f>
        <v>64918.958128888888</v>
      </c>
      <c r="M3" s="50">
        <f>Rice!$R$2+Wheat!P3</f>
        <v>69383.912488888891</v>
      </c>
      <c r="N3" s="50">
        <f>Rice!AF3+Wheat!AR3</f>
        <v>177002.7</v>
      </c>
      <c r="O3" s="50">
        <f>Rice!AG3+Wheat!AS3</f>
        <v>382295.0083333333</v>
      </c>
      <c r="P3" s="50">
        <f t="shared" ref="P3:P25" si="1">O3-M3</f>
        <v>312911.09584444441</v>
      </c>
      <c r="Q3" s="51">
        <f t="shared" ref="Q3:Q25" si="2">N3/M3</f>
        <v>2.5510625395814217</v>
      </c>
      <c r="R3" s="51">
        <f t="shared" ref="R3:R25" si="3">O3/M3</f>
        <v>5.5098508374625581</v>
      </c>
      <c r="U3">
        <f t="shared" ref="U3:Y6" si="4">(M3+M9+M15)/3</f>
        <v>69521.411066666667</v>
      </c>
      <c r="V3">
        <f t="shared" si="4"/>
        <v>176390.19999999998</v>
      </c>
      <c r="W3">
        <f t="shared" si="4"/>
        <v>376756.47611111106</v>
      </c>
      <c r="X3">
        <f t="shared" si="4"/>
        <v>307235.0650444444</v>
      </c>
      <c r="Y3">
        <f t="shared" si="4"/>
        <v>2.5373750533619224</v>
      </c>
      <c r="AI3" s="6">
        <f>Rice!S3+Wheat!AE3</f>
        <v>36297.162488888898</v>
      </c>
      <c r="AJ3" s="6">
        <f>Rice!T3+Wheat!AF3</f>
        <v>33086.75</v>
      </c>
      <c r="AK3" s="6">
        <f>Rice!Y3+Wheat!AK3</f>
        <v>4464.9543600000006</v>
      </c>
      <c r="AL3" s="6">
        <f>Rice!Z3+Wheat!AL3</f>
        <v>64918.958128888888</v>
      </c>
      <c r="AM3" s="6">
        <f>Rice!U3+Wheat!AG3</f>
        <v>69383.912488888891</v>
      </c>
      <c r="AN3" s="18">
        <f>Rice!AF3+Wheat!AR3</f>
        <v>177002.7</v>
      </c>
      <c r="AO3" s="9">
        <f>Rice!AG3+Wheat!AS3</f>
        <v>382295.0083333333</v>
      </c>
      <c r="AP3" s="9">
        <f t="shared" ref="AP3:AP19" si="5">AO3-AM3</f>
        <v>312911.09584444441</v>
      </c>
      <c r="AQ3" s="16">
        <f t="shared" ref="AQ3:AQ19" si="6">AN3/AM3</f>
        <v>2.5510625395814217</v>
      </c>
      <c r="AR3" s="16">
        <f t="shared" si="0"/>
        <v>5.5098508374625581</v>
      </c>
      <c r="AS3" s="22"/>
    </row>
    <row r="4" spans="1:45" thickBot="1" x14ac:dyDescent="0.4">
      <c r="A4">
        <v>1</v>
      </c>
      <c r="B4">
        <v>3</v>
      </c>
      <c r="C4" s="40">
        <f>(Rice!F4+Wheat!E4)</f>
        <v>3708.7390000000005</v>
      </c>
      <c r="D4" s="40">
        <f>Rice!K4+Wheat!J4</f>
        <v>49101.271800000002</v>
      </c>
      <c r="E4" s="40">
        <f>Rice!N4+Wheat!M4</f>
        <v>2414.5302000000001</v>
      </c>
      <c r="F4" s="41">
        <f>Rice!O4+Wheat!N4</f>
        <v>1970.8500000000001</v>
      </c>
      <c r="G4" s="41">
        <f>Rice!P4+Wheat!O4</f>
        <v>754.22</v>
      </c>
      <c r="H4" s="40">
        <f>(Rice!R4+Wheat!P4)</f>
        <v>57949.610999999997</v>
      </c>
      <c r="I4" s="50">
        <f>Rice!$S$2+Wheat!AE4</f>
        <v>34945.869044444451</v>
      </c>
      <c r="J4" s="5">
        <f>Rice!$T$2+Wheat!AF4</f>
        <v>31498.649999999998</v>
      </c>
      <c r="K4" s="50">
        <f>Rice!$Y$2+Wheat!AK4</f>
        <v>4432.9484266666677</v>
      </c>
      <c r="L4" s="50">
        <f>Rice!$Z$2+Wheat!AL4</f>
        <v>62011.570617777783</v>
      </c>
      <c r="M4" s="50">
        <f>Rice!$R$2+Wheat!P4</f>
        <v>66444.519044444445</v>
      </c>
      <c r="N4" s="50">
        <f>Rice!AF4+Wheat!AR4</f>
        <v>172607.39999999997</v>
      </c>
      <c r="O4" s="50">
        <f>Rice!AG4+Wheat!AS4</f>
        <v>377804.19999999995</v>
      </c>
      <c r="P4" s="50">
        <f t="shared" si="1"/>
        <v>311359.68095555552</v>
      </c>
      <c r="Q4" s="51">
        <f t="shared" si="2"/>
        <v>2.5977673174900047</v>
      </c>
      <c r="R4" s="51">
        <f t="shared" si="3"/>
        <v>5.6860100040349213</v>
      </c>
      <c r="U4">
        <f t="shared" si="4"/>
        <v>66715.687933333335</v>
      </c>
      <c r="V4">
        <f t="shared" si="4"/>
        <v>176826.29999999996</v>
      </c>
      <c r="W4">
        <f t="shared" si="4"/>
        <v>379297.55</v>
      </c>
      <c r="X4">
        <f t="shared" si="4"/>
        <v>312581.86206666665</v>
      </c>
      <c r="Y4">
        <f t="shared" si="4"/>
        <v>2.6505663427048973</v>
      </c>
      <c r="AI4" s="6">
        <f>Rice!S4+Wheat!AE4</f>
        <v>29256.111000000001</v>
      </c>
      <c r="AJ4" s="6">
        <f>Rice!T4+Wheat!AF4</f>
        <v>28693.5</v>
      </c>
      <c r="AK4" s="6">
        <f>Rice!Y4+Wheat!AK4</f>
        <v>4178.5302000000001</v>
      </c>
      <c r="AL4" s="6">
        <f>Rice!Z4+Wheat!AL4</f>
        <v>53771.080799999996</v>
      </c>
      <c r="AM4" s="6">
        <f>Rice!U4+Wheat!AG4</f>
        <v>57949.611000000004</v>
      </c>
      <c r="AN4" s="18">
        <f>Rice!AF4+Wheat!AR4</f>
        <v>172607.39999999997</v>
      </c>
      <c r="AO4" s="9">
        <f>Rice!AG4+Wheat!AS4</f>
        <v>377804.19999999995</v>
      </c>
      <c r="AP4" s="9">
        <f t="shared" si="5"/>
        <v>319854.58899999992</v>
      </c>
      <c r="AQ4" s="16">
        <f t="shared" si="6"/>
        <v>2.9785773712958998</v>
      </c>
      <c r="AR4" s="16">
        <f t="shared" si="0"/>
        <v>6.5195295271265916</v>
      </c>
    </row>
    <row r="5" spans="1:45" thickBot="1" x14ac:dyDescent="0.4">
      <c r="A5">
        <v>1</v>
      </c>
      <c r="B5">
        <v>4</v>
      </c>
      <c r="C5" s="40">
        <f>(Rice!F5+Wheat!E5)</f>
        <v>2624.7900555555557</v>
      </c>
      <c r="D5" s="40">
        <f>Rice!K5+Wheat!J5</f>
        <v>47725.331439999994</v>
      </c>
      <c r="E5" s="40">
        <f>Rice!N5+Wheat!M5</f>
        <v>2240.7368266666667</v>
      </c>
      <c r="F5" s="41">
        <f>Rice!O5+Wheat!N5</f>
        <v>1970.8500000000001</v>
      </c>
      <c r="G5" s="41">
        <f>Rice!P5+Wheat!O5</f>
        <v>754.22</v>
      </c>
      <c r="H5" s="40">
        <f>(Rice!R5+Wheat!P5)</f>
        <v>55315.928322222215</v>
      </c>
      <c r="I5" s="50">
        <f>Rice!$S$2+Wheat!AE5</f>
        <v>33203.228900000009</v>
      </c>
      <c r="J5" s="5">
        <f>Rice!$T$2+Wheat!AF5</f>
        <v>31608.649999999998</v>
      </c>
      <c r="K5" s="50">
        <f>Rice!$Y$2+Wheat!AK5</f>
        <v>4358.2593066666677</v>
      </c>
      <c r="L5" s="50">
        <f>Rice!$Z$2+Wheat!AL5</f>
        <v>60453.619593333337</v>
      </c>
      <c r="M5" s="50">
        <f>Rice!$R$2+Wheat!P5</f>
        <v>64811.878899999996</v>
      </c>
      <c r="N5" s="50">
        <f>Rice!AF5+Wheat!AR5</f>
        <v>181706.7</v>
      </c>
      <c r="O5" s="50">
        <f>Rice!AG5+Wheat!AS5</f>
        <v>394484.65333333332</v>
      </c>
      <c r="P5" s="50">
        <f t="shared" si="1"/>
        <v>329672.77443333331</v>
      </c>
      <c r="Q5" s="51">
        <f t="shared" si="2"/>
        <v>2.8036017946703908</v>
      </c>
      <c r="R5" s="51">
        <f t="shared" si="3"/>
        <v>6.086610356443984</v>
      </c>
      <c r="U5">
        <f t="shared" si="4"/>
        <v>65070.924944444443</v>
      </c>
      <c r="V5">
        <f t="shared" si="4"/>
        <v>180545.4</v>
      </c>
      <c r="W5">
        <f t="shared" si="4"/>
        <v>391659.21666666662</v>
      </c>
      <c r="X5">
        <f t="shared" si="4"/>
        <v>326588.29172222217</v>
      </c>
      <c r="Y5">
        <f t="shared" si="4"/>
        <v>2.7747379568051667</v>
      </c>
      <c r="AI5" s="6">
        <f>Rice!S5+Wheat!AE5</f>
        <v>26522.428322222222</v>
      </c>
      <c r="AJ5" s="6">
        <f>Rice!T5+Wheat!AF5</f>
        <v>28793.5</v>
      </c>
      <c r="AK5" s="6">
        <f>Rice!Y5+Wheat!AK5</f>
        <v>4004.7368266666672</v>
      </c>
      <c r="AL5" s="6">
        <f>Rice!Z5+Wheat!AL5</f>
        <v>51311.191495555562</v>
      </c>
      <c r="AM5" s="6">
        <f>Rice!U5+Wheat!AG5</f>
        <v>55315.928322222222</v>
      </c>
      <c r="AN5" s="18">
        <f>Rice!AF5+Wheat!AR5</f>
        <v>181706.7</v>
      </c>
      <c r="AO5" s="9">
        <f>Rice!AG5+Wheat!AS5</f>
        <v>394484.65333333332</v>
      </c>
      <c r="AP5" s="9">
        <f t="shared" si="5"/>
        <v>339168.72501111112</v>
      </c>
      <c r="AQ5" s="16">
        <f t="shared" si="6"/>
        <v>3.2848892807427128</v>
      </c>
      <c r="AR5" s="16">
        <f t="shared" si="0"/>
        <v>7.1314839197023092</v>
      </c>
    </row>
    <row r="6" spans="1:45" thickBot="1" x14ac:dyDescent="0.4">
      <c r="A6">
        <v>1</v>
      </c>
      <c r="B6">
        <v>5</v>
      </c>
      <c r="C6" s="40">
        <f>(Rice!F6+Wheat!E6)</f>
        <v>1314.6900555555558</v>
      </c>
      <c r="D6" s="40">
        <f>Rice!K6+Wheat!J6</f>
        <v>45692.740186666662</v>
      </c>
      <c r="E6" s="40">
        <f>Rice!N6+Wheat!M6</f>
        <v>2126.1759466666672</v>
      </c>
      <c r="F6" s="41">
        <f>Rice!O6+Wheat!N6</f>
        <v>1970.8500000000001</v>
      </c>
      <c r="G6" s="41">
        <f>Rice!P6+Wheat!O6</f>
        <v>754.22</v>
      </c>
      <c r="H6" s="40">
        <f>(Rice!R6+Wheat!P6)</f>
        <v>51858.676188888887</v>
      </c>
      <c r="I6" s="50">
        <f>Rice!$S$2+Wheat!AE6</f>
        <v>33203.228900000009</v>
      </c>
      <c r="J6" s="5">
        <f>Rice!$T$2+Wheat!AF6</f>
        <v>30254.984666666664</v>
      </c>
      <c r="K6" s="50">
        <f>Rice!$Y$2+Wheat!AK6</f>
        <v>4358.2593066666677</v>
      </c>
      <c r="L6" s="50">
        <f>Rice!$Z$2+Wheat!AL6</f>
        <v>59099.954259999999</v>
      </c>
      <c r="M6" s="50">
        <f>Rice!$R$2+Wheat!P6</f>
        <v>63458.213566666665</v>
      </c>
      <c r="N6" s="50">
        <f>Rice!AF6+Wheat!AR6</f>
        <v>185220</v>
      </c>
      <c r="O6" s="50">
        <f>Rice!AG6+Wheat!AS6</f>
        <v>399490.88333333336</v>
      </c>
      <c r="P6" s="50">
        <f t="shared" si="1"/>
        <v>336032.66976666672</v>
      </c>
      <c r="Q6" s="51">
        <f t="shared" si="2"/>
        <v>2.9187711028993162</v>
      </c>
      <c r="R6" s="51">
        <f t="shared" si="3"/>
        <v>6.2953376856983878</v>
      </c>
      <c r="U6">
        <f t="shared" si="4"/>
        <v>63916.414499999992</v>
      </c>
      <c r="V6">
        <f t="shared" si="4"/>
        <v>183818.6</v>
      </c>
      <c r="W6">
        <f t="shared" si="4"/>
        <v>396703.67444444442</v>
      </c>
      <c r="X6">
        <f t="shared" si="4"/>
        <v>332787.25994444446</v>
      </c>
      <c r="Y6">
        <f t="shared" si="4"/>
        <v>2.8764430882164951</v>
      </c>
      <c r="AI6" s="6">
        <f>Rice!S6+Wheat!AE6</f>
        <v>24066.719522222225</v>
      </c>
      <c r="AJ6" s="6">
        <f>Rice!T6+Wheat!AF6</f>
        <v>27791.956666666665</v>
      </c>
      <c r="AK6" s="6">
        <f>Rice!Y6+Wheat!AK6</f>
        <v>3890.1759466666672</v>
      </c>
      <c r="AL6" s="6">
        <f>Rice!Z6+Wheat!AL6</f>
        <v>47968.500242222224</v>
      </c>
      <c r="AM6" s="6">
        <f>Rice!U6+Wheat!AG6</f>
        <v>51858.676188888887</v>
      </c>
      <c r="AN6" s="18">
        <f>Rice!AF6+Wheat!AR6</f>
        <v>185220</v>
      </c>
      <c r="AO6" s="9">
        <f>Rice!AG6+Wheat!AS6</f>
        <v>399490.88333333336</v>
      </c>
      <c r="AP6" s="9">
        <f t="shared" si="5"/>
        <v>347632.20714444446</v>
      </c>
      <c r="AQ6" s="16">
        <f t="shared" si="6"/>
        <v>3.5716299298763201</v>
      </c>
      <c r="AR6" s="16">
        <f t="shared" si="0"/>
        <v>7.703453167185307</v>
      </c>
    </row>
    <row r="7" spans="1:45" thickBot="1" x14ac:dyDescent="0.4">
      <c r="A7">
        <v>1</v>
      </c>
      <c r="B7">
        <v>6</v>
      </c>
      <c r="C7" s="40">
        <f>(Rice!F7+Wheat!E7)</f>
        <v>1314.6900555555558</v>
      </c>
      <c r="D7" s="40">
        <f>Rice!K7+Wheat!J7</f>
        <v>43880.016586666665</v>
      </c>
      <c r="E7" s="40">
        <f>Rice!N7+Wheat!M7</f>
        <v>2126.1759466666672</v>
      </c>
      <c r="F7" s="41">
        <f>Rice!O7+Wheat!N7</f>
        <v>1970.8500000000001</v>
      </c>
      <c r="G7" s="41">
        <f>Rice!P7+Wheat!O7</f>
        <v>754.22</v>
      </c>
      <c r="H7" s="40">
        <f>(Rice!R7+Wheat!P7)</f>
        <v>50045.952588888897</v>
      </c>
      <c r="I7" s="50">
        <f>Rice!$S$2+Wheat!AE7</f>
        <v>33203.228900000009</v>
      </c>
      <c r="J7" s="5">
        <f>Rice!$T$2+Wheat!AF7</f>
        <v>29469.594399999998</v>
      </c>
      <c r="K7" s="50">
        <f>Rice!$Y$2+Wheat!AK7</f>
        <v>4358.2593066666677</v>
      </c>
      <c r="L7" s="50">
        <f>Rice!$Z$2+Wheat!AL7</f>
        <v>58314.56399333333</v>
      </c>
      <c r="M7" s="50">
        <f>Rice!$R$2+Wheat!P7</f>
        <v>62672.823300000004</v>
      </c>
      <c r="N7" s="50">
        <f>Rice!AF7+Wheat!AR7</f>
        <v>188160</v>
      </c>
      <c r="O7" s="50">
        <f>Rice!AG7+Wheat!AS7</f>
        <v>408510.6</v>
      </c>
      <c r="P7" s="50">
        <f t="shared" si="1"/>
        <v>345837.77669999999</v>
      </c>
      <c r="Q7" s="51">
        <f t="shared" si="2"/>
        <v>3.0022582371839626</v>
      </c>
      <c r="R7" s="51">
        <f t="shared" si="3"/>
        <v>6.5181458005259509</v>
      </c>
      <c r="U7">
        <f>(M7+M13+M19)/3</f>
        <v>63128.482811111113</v>
      </c>
      <c r="V7">
        <f>(N7+N13+N19)/3</f>
        <v>188978.29999999996</v>
      </c>
      <c r="W7">
        <f>(O7+O13+O19)/3</f>
        <v>404428.26111111109</v>
      </c>
      <c r="X7">
        <f>(P7+P13+P19)/3</f>
        <v>341299.77830000001</v>
      </c>
      <c r="Y7">
        <f>(Q7+Q13+Q19)/3</f>
        <v>2.9938664671086648</v>
      </c>
      <c r="AI7" s="6">
        <f>Rice!S7+Wheat!AE7</f>
        <v>24066.719522222225</v>
      </c>
      <c r="AJ7" s="6">
        <f>Rice!T7+Wheat!AF7</f>
        <v>25979.233066666664</v>
      </c>
      <c r="AK7" s="6">
        <f>Rice!Y7+Wheat!AK7</f>
        <v>3890.1759466666672</v>
      </c>
      <c r="AL7" s="6">
        <f>Rice!Z7+Wheat!AL7</f>
        <v>46155.776642222219</v>
      </c>
      <c r="AM7" s="6">
        <f>Rice!U7+Wheat!AG7</f>
        <v>50045.952588888889</v>
      </c>
      <c r="AN7" s="18">
        <f>Rice!AF7+Wheat!AR7</f>
        <v>188160</v>
      </c>
      <c r="AO7" s="9">
        <f>Rice!AG7+Wheat!AS7</f>
        <v>408510.6</v>
      </c>
      <c r="AP7" s="9">
        <f t="shared" si="5"/>
        <v>358464.6474111111</v>
      </c>
      <c r="AQ7" s="16">
        <f t="shared" si="6"/>
        <v>3.7597446000413415</v>
      </c>
      <c r="AR7" s="16">
        <f t="shared" si="0"/>
        <v>8.1627100468199849</v>
      </c>
    </row>
    <row r="8" spans="1:45" thickBot="1" x14ac:dyDescent="0.4">
      <c r="A8">
        <v>2</v>
      </c>
      <c r="B8">
        <v>1</v>
      </c>
      <c r="C8" s="40">
        <f>(Rice!F8+Wheat!E8)</f>
        <v>7416.4549999999999</v>
      </c>
      <c r="D8" s="40">
        <f>Rice!K8+Wheat!J8</f>
        <v>59653.963600000003</v>
      </c>
      <c r="E8" s="40">
        <f>Rice!N8+Wheat!M8</f>
        <v>3169.0037333333335</v>
      </c>
      <c r="F8" s="41">
        <f>Rice!O8+Wheat!N8</f>
        <v>1970.8500000000001</v>
      </c>
      <c r="G8" s="41">
        <f>Rice!P8+Wheat!O8</f>
        <v>754.22</v>
      </c>
      <c r="H8" s="40">
        <f>(Rice!R8+Wheat!P8)</f>
        <v>72964.492333333328</v>
      </c>
      <c r="I8" s="50">
        <f>Rice!$S$2+Wheat!AE8</f>
        <v>36807.757555555567</v>
      </c>
      <c r="J8" s="5">
        <f>Rice!$T$2+Wheat!AF8</f>
        <v>33086.75</v>
      </c>
      <c r="K8" s="50">
        <f>Rice!$Y$2+Wheat!AK8</f>
        <v>4516.013866666668</v>
      </c>
      <c r="L8" s="50">
        <f>Rice!$Z$2+Wheat!AL8</f>
        <v>65378.493688888891</v>
      </c>
      <c r="M8" s="50">
        <f>Rice!$R$2+Wheat!P8</f>
        <v>69894.507555555552</v>
      </c>
      <c r="N8" s="50">
        <f>Rice!AF8+Wheat!AR8</f>
        <v>165977.70000000001</v>
      </c>
      <c r="O8" s="50">
        <f>Rice!AG8+Wheat!AS8</f>
        <v>356568.68333333335</v>
      </c>
      <c r="P8" s="50">
        <f t="shared" si="1"/>
        <v>286674.1757777778</v>
      </c>
      <c r="Q8" s="51">
        <f t="shared" si="2"/>
        <v>2.3746887388550935</v>
      </c>
      <c r="R8" s="51">
        <f t="shared" si="3"/>
        <v>5.101526511935365</v>
      </c>
      <c r="V8" s="17">
        <f>(V7-V2)/V2</f>
        <v>9.066485676310039E-2</v>
      </c>
      <c r="X8" s="17">
        <f>(X7-X2)/X2</f>
        <v>0.13118033854449396</v>
      </c>
      <c r="Y8" s="17">
        <f>(Y7-Y2)/Y2</f>
        <v>0.20108122524880276</v>
      </c>
      <c r="AI8" s="6">
        <f>Rice!S8+Wheat!AE8</f>
        <v>39877.742333333343</v>
      </c>
      <c r="AJ8" s="6">
        <f>Rice!T8+Wheat!AF8</f>
        <v>33086.75</v>
      </c>
      <c r="AK8" s="6">
        <f>Rice!Y8+Wheat!AK8</f>
        <v>4822.753733333333</v>
      </c>
      <c r="AL8" s="6">
        <f>Rice!Z8+Wheat!AL8</f>
        <v>68141.738600000012</v>
      </c>
      <c r="AM8" s="6">
        <f>Rice!U8+Wheat!AG8</f>
        <v>72964.492333333328</v>
      </c>
      <c r="AN8" s="18">
        <f>Rice!AF8+Wheat!AR8</f>
        <v>165977.70000000001</v>
      </c>
      <c r="AO8" s="9">
        <f>Rice!AG8+Wheat!AS8</f>
        <v>356568.68333333335</v>
      </c>
      <c r="AP8" s="9">
        <f t="shared" si="5"/>
        <v>283604.19099999999</v>
      </c>
      <c r="AQ8" s="16">
        <f t="shared" si="6"/>
        <v>2.2747735877026618</v>
      </c>
      <c r="AR8" s="16">
        <f t="shared" si="0"/>
        <v>4.8868795208547953</v>
      </c>
    </row>
    <row r="9" spans="1:45" thickBot="1" x14ac:dyDescent="0.4">
      <c r="A9">
        <v>2</v>
      </c>
      <c r="B9">
        <v>2</v>
      </c>
      <c r="C9" s="40">
        <f>(Rice!F9+Wheat!E9)</f>
        <v>7416.4549999999999</v>
      </c>
      <c r="D9" s="40">
        <f>Rice!K9+Wheat!J9</f>
        <v>59653.963600000003</v>
      </c>
      <c r="E9" s="40">
        <f>Rice!N9+Wheat!M9</f>
        <v>3169.0037333333335</v>
      </c>
      <c r="F9" s="41">
        <f>Rice!O9+Wheat!N9</f>
        <v>1970.8500000000001</v>
      </c>
      <c r="G9" s="41">
        <f>Rice!P9+Wheat!O9</f>
        <v>754.22</v>
      </c>
      <c r="H9" s="40">
        <f>(Rice!R9+Wheat!P9)</f>
        <v>72964.492333333328</v>
      </c>
      <c r="I9" s="50">
        <f>Rice!$S$2+Wheat!AE9</f>
        <v>36807.757555555567</v>
      </c>
      <c r="J9" s="5">
        <f>Rice!$T$2+Wheat!AF9</f>
        <v>33086.75</v>
      </c>
      <c r="K9" s="50">
        <f>Rice!$Y$2+Wheat!AK9</f>
        <v>4516.013866666668</v>
      </c>
      <c r="L9" s="50">
        <f>Rice!$Z$2+Wheat!AL9</f>
        <v>65378.493688888891</v>
      </c>
      <c r="M9" s="50">
        <f>Rice!$R$2+Wheat!P9</f>
        <v>69894.507555555552</v>
      </c>
      <c r="N9" s="50">
        <f>Rice!AF9+Wheat!AR9</f>
        <v>173166</v>
      </c>
      <c r="O9" s="50">
        <f>Rice!AG9+Wheat!AS9</f>
        <v>365941.24999999994</v>
      </c>
      <c r="P9" s="50">
        <f t="shared" si="1"/>
        <v>296046.74244444439</v>
      </c>
      <c r="Q9" s="51">
        <f t="shared" si="2"/>
        <v>2.4775337298479316</v>
      </c>
      <c r="R9" s="51">
        <f t="shared" si="3"/>
        <v>5.2356224086582488</v>
      </c>
      <c r="V9" s="17">
        <f>(V6-V2)/V2</f>
        <v>6.0886287152512722E-2</v>
      </c>
      <c r="X9" s="17">
        <f>(X6-X2)/X2</f>
        <v>0.10296703748913978</v>
      </c>
      <c r="Y9" s="17">
        <f>(Y6-Y2)/Y2</f>
        <v>0.15397324052666966</v>
      </c>
      <c r="AI9" s="6">
        <f>Rice!S9+Wheat!AE9</f>
        <v>39877.742333333343</v>
      </c>
      <c r="AJ9" s="6">
        <f>Rice!T9+Wheat!AF9</f>
        <v>33086.75</v>
      </c>
      <c r="AK9" s="6">
        <f>Rice!Y9+Wheat!AK9</f>
        <v>4822.753733333333</v>
      </c>
      <c r="AL9" s="6">
        <f>Rice!Z9+Wheat!AL9</f>
        <v>68141.738600000012</v>
      </c>
      <c r="AM9" s="6">
        <f>Rice!U9+Wheat!AG9</f>
        <v>72964.492333333328</v>
      </c>
      <c r="AN9" s="18">
        <f>Rice!AF9+Wheat!AR9</f>
        <v>173166</v>
      </c>
      <c r="AO9" s="9">
        <f>Rice!AG9+Wheat!AS9</f>
        <v>365941.24999999994</v>
      </c>
      <c r="AP9" s="9">
        <f t="shared" si="5"/>
        <v>292976.75766666664</v>
      </c>
      <c r="AQ9" s="16">
        <f t="shared" si="6"/>
        <v>2.373291370395656</v>
      </c>
      <c r="AR9" s="16">
        <f t="shared" si="0"/>
        <v>5.0153333258076023</v>
      </c>
    </row>
    <row r="10" spans="1:45" thickBot="1" x14ac:dyDescent="0.4">
      <c r="A10">
        <v>2</v>
      </c>
      <c r="B10">
        <v>3</v>
      </c>
      <c r="C10" s="40">
        <f>(Rice!F10+Wheat!E10)</f>
        <v>3708.7390000000005</v>
      </c>
      <c r="D10" s="40">
        <f>Rice!K10+Wheat!J10</f>
        <v>52290.457199999997</v>
      </c>
      <c r="E10" s="40">
        <f>Rice!N10+Wheat!M10</f>
        <v>2768.8841333333335</v>
      </c>
      <c r="F10" s="41">
        <f>Rice!O10+Wheat!N10</f>
        <v>1970.8500000000001</v>
      </c>
      <c r="G10" s="41">
        <f>Rice!P10+Wheat!O10</f>
        <v>754.22</v>
      </c>
      <c r="H10" s="40">
        <f>(Rice!R10+Wheat!P10)</f>
        <v>61493.150333333324</v>
      </c>
      <c r="I10" s="50">
        <f>Rice!$S$2+Wheat!AE10</f>
        <v>35698.123444444456</v>
      </c>
      <c r="J10" s="5">
        <f>Rice!$T$2+Wheat!AF10</f>
        <v>31498.649999999998</v>
      </c>
      <c r="K10" s="50">
        <f>Rice!$Y$2+Wheat!AK10</f>
        <v>4508.1738666666679</v>
      </c>
      <c r="L10" s="50">
        <f>Rice!$Z$2+Wheat!AL10</f>
        <v>62688.599577777779</v>
      </c>
      <c r="M10" s="50">
        <f>Rice!$R$2+Wheat!P10</f>
        <v>67196.773444444436</v>
      </c>
      <c r="N10" s="50">
        <f>Rice!AF10+Wheat!AR10</f>
        <v>175444.5</v>
      </c>
      <c r="O10" s="50">
        <f>Rice!AG10+Wheat!AS10</f>
        <v>365439.15</v>
      </c>
      <c r="P10" s="50">
        <f t="shared" si="1"/>
        <v>298242.37655555562</v>
      </c>
      <c r="Q10" s="51">
        <f t="shared" si="2"/>
        <v>2.6109066106432981</v>
      </c>
      <c r="R10" s="51">
        <f t="shared" si="3"/>
        <v>5.4383437071146021</v>
      </c>
      <c r="V10" s="17">
        <f>(V5-V2)/V2</f>
        <v>4.1995418681598375E-2</v>
      </c>
      <c r="X10" s="17">
        <f>(X5-X2)/X2</f>
        <v>8.2421606703432265E-2</v>
      </c>
      <c r="Y10" s="17">
        <f>(Y5-Y2)/Y2</f>
        <v>0.11317111217804579</v>
      </c>
      <c r="AI10" s="6">
        <f>Rice!S10+Wheat!AE10</f>
        <v>32799.650333333338</v>
      </c>
      <c r="AJ10" s="6">
        <f>Rice!T10+Wheat!AF10</f>
        <v>28693.5</v>
      </c>
      <c r="AK10" s="6">
        <f>Rice!Y10+Wheat!AK10</f>
        <v>4532.8841333333339</v>
      </c>
      <c r="AL10" s="6">
        <f>Rice!Z10+Wheat!AL10</f>
        <v>56960.266199999998</v>
      </c>
      <c r="AM10" s="6">
        <f>Rice!U10+Wheat!AG10</f>
        <v>61493.150333333338</v>
      </c>
      <c r="AN10" s="18">
        <f>Rice!AF10+Wheat!AR10</f>
        <v>175444.5</v>
      </c>
      <c r="AO10" s="9">
        <f>Rice!AG10+Wheat!AS10</f>
        <v>365439.15</v>
      </c>
      <c r="AP10" s="9">
        <f t="shared" si="5"/>
        <v>303945.99966666667</v>
      </c>
      <c r="AQ10" s="16">
        <f t="shared" si="6"/>
        <v>2.8530738634949642</v>
      </c>
      <c r="AR10" s="16">
        <f t="shared" si="0"/>
        <v>5.9427618851706141</v>
      </c>
    </row>
    <row r="11" spans="1:45" thickBot="1" x14ac:dyDescent="0.4">
      <c r="A11">
        <v>2</v>
      </c>
      <c r="B11">
        <v>4</v>
      </c>
      <c r="C11" s="40">
        <f>(Rice!F11+Wheat!E11)</f>
        <v>2624.7900555555557</v>
      </c>
      <c r="D11" s="40">
        <f>Rice!K11+Wheat!J11</f>
        <v>50839.578520000003</v>
      </c>
      <c r="E11" s="40">
        <f>Rice!N11+Wheat!M11</f>
        <v>2586.7642799999999</v>
      </c>
      <c r="F11" s="41">
        <f>Rice!O11+Wheat!N11</f>
        <v>1970.8500000000001</v>
      </c>
      <c r="G11" s="41">
        <f>Rice!P11+Wheat!O11</f>
        <v>754.22</v>
      </c>
      <c r="H11" s="40">
        <f>(Rice!R11+Wheat!P11)</f>
        <v>58776.202855555559</v>
      </c>
      <c r="I11" s="50">
        <f>Rice!$S$2+Wheat!AE11</f>
        <v>33676.976900000009</v>
      </c>
      <c r="J11" s="5">
        <f>Rice!$T$2+Wheat!AF11</f>
        <v>31608.649999999998</v>
      </c>
      <c r="K11" s="50">
        <f>Rice!$Y$2+Wheat!AK11</f>
        <v>4405.6341066666673</v>
      </c>
      <c r="L11" s="50">
        <f>Rice!$Z$2+Wheat!AL11</f>
        <v>60879.992793333338</v>
      </c>
      <c r="M11" s="50">
        <f>Rice!$R$2+Wheat!P11</f>
        <v>65285.626899999996</v>
      </c>
      <c r="N11" s="50">
        <f>Rice!AF11+Wheat!AR11</f>
        <v>173739.3</v>
      </c>
      <c r="O11" s="50">
        <f>Rice!AG11+Wheat!AS11</f>
        <v>380481.4966666667</v>
      </c>
      <c r="P11" s="50">
        <f t="shared" si="1"/>
        <v>315195.86976666673</v>
      </c>
      <c r="Q11" s="51">
        <f t="shared" si="2"/>
        <v>2.6612182229041288</v>
      </c>
      <c r="R11" s="51">
        <f t="shared" si="3"/>
        <v>5.8279519510391147</v>
      </c>
      <c r="V11" s="17">
        <f>AVERAGE(V8:V10)</f>
        <v>6.4515520865737155E-2</v>
      </c>
      <c r="X11" s="58">
        <f>AVERAGE(X8:X10)</f>
        <v>0.10552299424568867</v>
      </c>
      <c r="Y11" s="17">
        <f>AVERAGE(Y8:Y10)</f>
        <v>0.15607519265117273</v>
      </c>
      <c r="AI11" s="6">
        <f>Rice!S11+Wheat!AE11</f>
        <v>29982.702855555559</v>
      </c>
      <c r="AJ11" s="6">
        <f>Rice!T11+Wheat!AF11</f>
        <v>28793.5</v>
      </c>
      <c r="AK11" s="6">
        <f>Rice!Y11+Wheat!AK11</f>
        <v>4350.7642800000003</v>
      </c>
      <c r="AL11" s="6">
        <f>Rice!Z11+Wheat!AL11</f>
        <v>54425.438575555556</v>
      </c>
      <c r="AM11" s="6">
        <f>Rice!U11+Wheat!AG11</f>
        <v>58776.202855555559</v>
      </c>
      <c r="AN11" s="18">
        <f>Rice!AF11+Wheat!AR11</f>
        <v>173739.3</v>
      </c>
      <c r="AO11" s="9">
        <f>Rice!AG11+Wheat!AS11</f>
        <v>380481.4966666667</v>
      </c>
      <c r="AP11" s="9">
        <f t="shared" si="5"/>
        <v>321705.29381111113</v>
      </c>
      <c r="AQ11" s="16">
        <f t="shared" si="6"/>
        <v>2.9559463109069841</v>
      </c>
      <c r="AR11" s="16">
        <f t="shared" si="0"/>
        <v>6.4733936215939707</v>
      </c>
    </row>
    <row r="12" spans="1:45" thickBot="1" x14ac:dyDescent="0.4">
      <c r="A12">
        <v>2</v>
      </c>
      <c r="B12">
        <v>5</v>
      </c>
      <c r="C12" s="40">
        <f>(Rice!F12+Wheat!E12)</f>
        <v>1314.6900555555558</v>
      </c>
      <c r="D12" s="40">
        <f>Rice!K12+Wheat!J12</f>
        <v>49424.950226666668</v>
      </c>
      <c r="E12" s="40">
        <f>Rice!N12+Wheat!M12</f>
        <v>2473.2561733333332</v>
      </c>
      <c r="F12" s="41">
        <f>Rice!O12+Wheat!N12</f>
        <v>1970.8500000000001</v>
      </c>
      <c r="G12" s="41">
        <f>Rice!P12+Wheat!O12</f>
        <v>754.22</v>
      </c>
      <c r="H12" s="40">
        <f>(Rice!R12+Wheat!P12)</f>
        <v>55937.96645555555</v>
      </c>
      <c r="I12" s="50">
        <f>Rice!$S$2+Wheat!AE12</f>
        <v>33676.976900000009</v>
      </c>
      <c r="J12" s="5">
        <f>Rice!$T$2+Wheat!AF12</f>
        <v>30753.239333333331</v>
      </c>
      <c r="K12" s="50">
        <f>Rice!$Y$2+Wheat!AK12</f>
        <v>4405.6341066666673</v>
      </c>
      <c r="L12" s="50">
        <f>Rice!$Z$2+Wheat!AL12</f>
        <v>60024.582126666668</v>
      </c>
      <c r="M12" s="50">
        <f>Rice!$R$2+Wheat!P12</f>
        <v>64430.216233333325</v>
      </c>
      <c r="N12" s="50">
        <f>Rice!AF12+Wheat!AR12</f>
        <v>175944.3</v>
      </c>
      <c r="O12" s="50">
        <f>Rice!AG12+Wheat!AS12</f>
        <v>379623.03666666662</v>
      </c>
      <c r="P12" s="50">
        <f t="shared" si="1"/>
        <v>315192.82043333328</v>
      </c>
      <c r="Q12" s="51">
        <f t="shared" si="2"/>
        <v>2.7307730795566418</v>
      </c>
      <c r="R12" s="51">
        <f t="shared" si="3"/>
        <v>5.8920031447956953</v>
      </c>
      <c r="AI12" s="6">
        <f>Rice!S12+Wheat!AE12</f>
        <v>27537.521788888895</v>
      </c>
      <c r="AJ12" s="6">
        <f>Rice!T12+Wheat!AF12</f>
        <v>28400.444666666666</v>
      </c>
      <c r="AK12" s="6">
        <f>Rice!Y12+Wheat!AK12</f>
        <v>4237.2561733333332</v>
      </c>
      <c r="AL12" s="6">
        <f>Rice!Z12+Wheat!AL12</f>
        <v>51700.710282222222</v>
      </c>
      <c r="AM12" s="6">
        <f>Rice!U12+Wheat!AG12</f>
        <v>55937.966455555565</v>
      </c>
      <c r="AN12" s="18">
        <f>Rice!AF12+Wheat!AR12</f>
        <v>175944.3</v>
      </c>
      <c r="AO12" s="9">
        <f>Rice!AG12+Wheat!AS12</f>
        <v>379623.03666666662</v>
      </c>
      <c r="AP12" s="9">
        <f t="shared" si="5"/>
        <v>323685.07021111104</v>
      </c>
      <c r="AQ12" s="16">
        <f t="shared" si="6"/>
        <v>3.1453467322555091</v>
      </c>
      <c r="AR12" s="16">
        <f t="shared" si="0"/>
        <v>6.7865004883273476</v>
      </c>
    </row>
    <row r="13" spans="1:45" thickBot="1" x14ac:dyDescent="0.4">
      <c r="A13">
        <v>2</v>
      </c>
      <c r="B13">
        <v>6</v>
      </c>
      <c r="C13" s="40">
        <f>(Rice!F13+Wheat!E13)</f>
        <v>1314.6900555555558</v>
      </c>
      <c r="D13" s="40">
        <f>Rice!K13+Wheat!J13</f>
        <v>47501.689426666664</v>
      </c>
      <c r="E13" s="40">
        <f>Rice!N13+Wheat!M13</f>
        <v>2473.2561733333332</v>
      </c>
      <c r="F13" s="41">
        <f>Rice!O13+Wheat!N13</f>
        <v>1970.8500000000001</v>
      </c>
      <c r="G13" s="41">
        <f>Rice!P13+Wheat!O13</f>
        <v>754.22</v>
      </c>
      <c r="H13" s="40">
        <f>(Rice!R13+Wheat!P13)</f>
        <v>54014.705655555554</v>
      </c>
      <c r="I13" s="50">
        <f>Rice!$S$2+Wheat!AE13</f>
        <v>33676.976900000009</v>
      </c>
      <c r="J13" s="5">
        <f>Rice!$T$2+Wheat!AF13</f>
        <v>29974.8292</v>
      </c>
      <c r="K13" s="50">
        <f>Rice!$Y$2+Wheat!AK13</f>
        <v>4405.6341066666673</v>
      </c>
      <c r="L13" s="50">
        <f>Rice!$Z$2+Wheat!AL13</f>
        <v>59246.171993333337</v>
      </c>
      <c r="M13" s="50">
        <f>Rice!$R$2+Wheat!P13</f>
        <v>63651.806099999994</v>
      </c>
      <c r="N13" s="50">
        <f>Rice!AF13+Wheat!AR13</f>
        <v>184470.3</v>
      </c>
      <c r="O13" s="50">
        <f>Rice!AG13+Wheat!AS13</f>
        <v>387316.01666666666</v>
      </c>
      <c r="P13" s="50">
        <f t="shared" si="1"/>
        <v>323664.21056666668</v>
      </c>
      <c r="Q13" s="51">
        <f t="shared" si="2"/>
        <v>2.8981157221240261</v>
      </c>
      <c r="R13" s="51">
        <f t="shared" si="3"/>
        <v>6.0849179370994584</v>
      </c>
      <c r="AI13" s="6">
        <f>Rice!S13+Wheat!AE13</f>
        <v>27537.521788888895</v>
      </c>
      <c r="AJ13" s="6">
        <f>Rice!T13+Wheat!AF13</f>
        <v>26477.183866666666</v>
      </c>
      <c r="AK13" s="6">
        <f>Rice!Y13+Wheat!AK13</f>
        <v>4237.2561733333332</v>
      </c>
      <c r="AL13" s="6">
        <f>Rice!Z13+Wheat!AL13</f>
        <v>49777.449482222233</v>
      </c>
      <c r="AM13" s="6">
        <f>Rice!U13+Wheat!AG13</f>
        <v>54014.705655555561</v>
      </c>
      <c r="AN13" s="18">
        <f>Rice!AF13+Wheat!AR13</f>
        <v>184470.3</v>
      </c>
      <c r="AO13" s="9">
        <f>Rice!AG13+Wheat!AS13</f>
        <v>387316.01666666666</v>
      </c>
      <c r="AP13" s="9">
        <f t="shared" si="5"/>
        <v>333301.31101111113</v>
      </c>
      <c r="AQ13" s="16">
        <f t="shared" si="6"/>
        <v>3.4151866192947904</v>
      </c>
      <c r="AR13" s="16">
        <f t="shared" si="0"/>
        <v>7.1705660887338398</v>
      </c>
    </row>
    <row r="14" spans="1:45" thickBot="1" x14ac:dyDescent="0.4">
      <c r="A14">
        <v>3</v>
      </c>
      <c r="B14">
        <v>1</v>
      </c>
      <c r="C14" s="40">
        <f>(Rice!F14+Wheat!E14)</f>
        <v>7416.4549999999999</v>
      </c>
      <c r="D14" s="40">
        <f>Rice!K14+Wheat!J14</f>
        <v>56368.736559999998</v>
      </c>
      <c r="E14" s="40">
        <f>Rice!N14+Wheat!M14</f>
        <v>2803.9785066666673</v>
      </c>
      <c r="F14" s="41">
        <f>Rice!O14+Wheat!N14</f>
        <v>1970.8500000000001</v>
      </c>
      <c r="G14" s="41">
        <f>Rice!P14+Wheat!O14</f>
        <v>754.22</v>
      </c>
      <c r="H14" s="40">
        <f>(Rice!R14+Wheat!P14)</f>
        <v>69314.240066666665</v>
      </c>
      <c r="I14" s="50">
        <f>Rice!$S$2+Wheat!AE14</f>
        <v>36199.063155555566</v>
      </c>
      <c r="J14" s="5">
        <f>Rice!$T$2+Wheat!AF14</f>
        <v>33086.75</v>
      </c>
      <c r="K14" s="50">
        <f>Rice!$Y$2+Wheat!AK14</f>
        <v>4455.1444266666676</v>
      </c>
      <c r="L14" s="50">
        <f>Rice!$Z$2+Wheat!AL14</f>
        <v>64830.668728888893</v>
      </c>
      <c r="M14" s="50">
        <f>Rice!$R$2+Wheat!P14</f>
        <v>69285.813155555559</v>
      </c>
      <c r="N14" s="50">
        <f>Rice!AF14+Wheat!AR14</f>
        <v>179207.7</v>
      </c>
      <c r="O14" s="50">
        <f>Rice!AG14+Wheat!AS14</f>
        <v>380228.17</v>
      </c>
      <c r="P14" s="50">
        <f t="shared" si="1"/>
        <v>310942.35684444441</v>
      </c>
      <c r="Q14" s="51">
        <f t="shared" si="2"/>
        <v>2.5864991956961765</v>
      </c>
      <c r="R14" s="51">
        <f t="shared" si="3"/>
        <v>5.4878214266799299</v>
      </c>
      <c r="AI14" s="6">
        <f>Rice!S14+Wheat!AE14</f>
        <v>36227.490066666673</v>
      </c>
      <c r="AJ14" s="6">
        <f>Rice!T14+Wheat!AF14</f>
        <v>33086.75</v>
      </c>
      <c r="AK14" s="6">
        <f>Rice!Y14+Wheat!AK14</f>
        <v>4457.7285066666673</v>
      </c>
      <c r="AL14" s="6">
        <f>Rice!Z14+Wheat!AL14</f>
        <v>64856.511559999999</v>
      </c>
      <c r="AM14" s="6">
        <f>Rice!U14+Wheat!AG14</f>
        <v>69314.240066666665</v>
      </c>
      <c r="AN14" s="18">
        <f>Rice!AF14+Wheat!AR14</f>
        <v>179207.7</v>
      </c>
      <c r="AO14" s="9">
        <f>Rice!AG14+Wheat!AS14</f>
        <v>380228.17</v>
      </c>
      <c r="AP14" s="9">
        <f t="shared" si="5"/>
        <v>310913.9299333333</v>
      </c>
      <c r="AQ14" s="16">
        <f t="shared" si="6"/>
        <v>2.5854384297892823</v>
      </c>
      <c r="AR14" s="16">
        <f t="shared" si="0"/>
        <v>5.485570780755805</v>
      </c>
    </row>
    <row r="15" spans="1:45" thickBot="1" x14ac:dyDescent="0.4">
      <c r="A15">
        <v>3</v>
      </c>
      <c r="B15">
        <v>2</v>
      </c>
      <c r="C15" s="40">
        <f>(Rice!F15+Wheat!E15)</f>
        <v>7416.4549999999999</v>
      </c>
      <c r="D15" s="40">
        <f>Rice!K15+Wheat!J15</f>
        <v>56368.736560000005</v>
      </c>
      <c r="E15" s="40">
        <f>Rice!N15+Wheat!M15</f>
        <v>2803.9785066666673</v>
      </c>
      <c r="F15" s="41">
        <f>Rice!O15+Wheat!N15</f>
        <v>1970.8500000000001</v>
      </c>
      <c r="G15" s="41">
        <f>Rice!P15+Wheat!O15</f>
        <v>754.22</v>
      </c>
      <c r="H15" s="40">
        <f>(Rice!R15+Wheat!P15)</f>
        <v>69314.24006666668</v>
      </c>
      <c r="I15" s="50">
        <f>Rice!$S$2+Wheat!AE15</f>
        <v>36199.063155555566</v>
      </c>
      <c r="J15" s="5">
        <f>Rice!$T$2+Wheat!AF15</f>
        <v>33086.75</v>
      </c>
      <c r="K15" s="50">
        <f>Rice!$Y$2+Wheat!AK15</f>
        <v>4455.1444266666676</v>
      </c>
      <c r="L15" s="50">
        <f>Rice!$Z$2+Wheat!AL15</f>
        <v>64830.668728888893</v>
      </c>
      <c r="M15" s="50">
        <f>Rice!$R$2+Wheat!P15</f>
        <v>69285.813155555559</v>
      </c>
      <c r="N15" s="50">
        <f>Rice!AF15+Wheat!AR15</f>
        <v>179001.9</v>
      </c>
      <c r="O15" s="50">
        <f>Rice!AG15+Wheat!AS15</f>
        <v>382033.17</v>
      </c>
      <c r="P15" s="50">
        <f t="shared" si="1"/>
        <v>312747.35684444441</v>
      </c>
      <c r="Q15" s="51">
        <f t="shared" si="2"/>
        <v>2.5835288906564133</v>
      </c>
      <c r="R15" s="51">
        <f t="shared" si="3"/>
        <v>5.5138729358965071</v>
      </c>
      <c r="AI15" s="6">
        <f>Rice!S15+Wheat!AE15</f>
        <v>36227.490066666673</v>
      </c>
      <c r="AJ15" s="6">
        <f>Rice!T15+Wheat!AF15</f>
        <v>33086.75</v>
      </c>
      <c r="AK15" s="6">
        <f>Rice!Y15+Wheat!AK15</f>
        <v>4457.7285066666673</v>
      </c>
      <c r="AL15" s="6">
        <f>Rice!Z15+Wheat!AL15</f>
        <v>64856.511560000006</v>
      </c>
      <c r="AM15" s="6">
        <f>Rice!U15+Wheat!AG15</f>
        <v>69314.240066666665</v>
      </c>
      <c r="AN15" s="18">
        <f>Rice!AF15+Wheat!AR15</f>
        <v>179001.9</v>
      </c>
      <c r="AO15" s="9">
        <f>Rice!AG15+Wheat!AS15</f>
        <v>382033.17</v>
      </c>
      <c r="AP15" s="9">
        <f t="shared" si="5"/>
        <v>312718.9299333333</v>
      </c>
      <c r="AQ15" s="16">
        <f t="shared" si="6"/>
        <v>2.5824693429205223</v>
      </c>
      <c r="AR15" s="16">
        <f t="shared" si="0"/>
        <v>5.5116116058195148</v>
      </c>
    </row>
    <row r="16" spans="1:45" thickBot="1" x14ac:dyDescent="0.4">
      <c r="A16">
        <v>3</v>
      </c>
      <c r="B16">
        <v>3</v>
      </c>
      <c r="C16" s="40">
        <f>(Rice!F16+Wheat!E16)</f>
        <v>3708.7390000000005</v>
      </c>
      <c r="D16" s="40">
        <f>Rice!K16+Wheat!J16</f>
        <v>49361.833199999994</v>
      </c>
      <c r="E16" s="40">
        <f>Rice!N16+Wheat!M16</f>
        <v>2443.4814666666666</v>
      </c>
      <c r="F16" s="41">
        <f>Rice!O16+Wheat!N16</f>
        <v>1970.8500000000001</v>
      </c>
      <c r="G16" s="41">
        <f>Rice!P16+Wheat!O16</f>
        <v>754.22</v>
      </c>
      <c r="H16" s="40">
        <f>(Rice!R16+Wheat!P16)</f>
        <v>58239.123666666666</v>
      </c>
      <c r="I16" s="50">
        <f>Rice!$S$2+Wheat!AE16</f>
        <v>35007.121311111121</v>
      </c>
      <c r="J16" s="5">
        <f>Rice!$T$2+Wheat!AF16</f>
        <v>31498.649999999998</v>
      </c>
      <c r="K16" s="50">
        <f>Rice!$Y$2+Wheat!AK16</f>
        <v>4439.0736533333347</v>
      </c>
      <c r="L16" s="50">
        <f>Rice!$Z$2+Wheat!AL16</f>
        <v>62066.697657777782</v>
      </c>
      <c r="M16" s="50">
        <f>Rice!$R$2+Wheat!P16</f>
        <v>66505.771311111108</v>
      </c>
      <c r="N16" s="50">
        <f>Rice!AF16+Wheat!AR16</f>
        <v>182427</v>
      </c>
      <c r="O16" s="50">
        <f>Rice!AG16+Wheat!AS16</f>
        <v>394649.30000000005</v>
      </c>
      <c r="P16" s="50">
        <f t="shared" si="1"/>
        <v>328143.52868888894</v>
      </c>
      <c r="Q16" s="51">
        <f t="shared" si="2"/>
        <v>2.7430250999813901</v>
      </c>
      <c r="R16" s="51">
        <f t="shared" si="3"/>
        <v>5.9340609426789106</v>
      </c>
      <c r="AI16" s="6">
        <f>Rice!S16+Wheat!AE16</f>
        <v>29545.623666666666</v>
      </c>
      <c r="AJ16" s="6">
        <f>Rice!T16+Wheat!AF16</f>
        <v>28693.5</v>
      </c>
      <c r="AK16" s="6">
        <f>Rice!Y16+Wheat!AK16</f>
        <v>4207.4814666666662</v>
      </c>
      <c r="AL16" s="6">
        <f>Rice!Z16+Wheat!AL16</f>
        <v>54031.642199999995</v>
      </c>
      <c r="AM16" s="6">
        <f>Rice!U16+Wheat!AG16</f>
        <v>58239.123666666666</v>
      </c>
      <c r="AN16" s="18">
        <f>Rice!AF16+Wheat!AR16</f>
        <v>182427</v>
      </c>
      <c r="AO16" s="9">
        <f>Rice!AG16+Wheat!AS16</f>
        <v>394649.30000000005</v>
      </c>
      <c r="AP16" s="9">
        <f t="shared" si="5"/>
        <v>336410.17633333337</v>
      </c>
      <c r="AQ16" s="16">
        <f t="shared" si="6"/>
        <v>3.1323788634617218</v>
      </c>
      <c r="AR16" s="16">
        <f t="shared" si="0"/>
        <v>6.7763605486028071</v>
      </c>
    </row>
    <row r="17" spans="1:44" thickBot="1" x14ac:dyDescent="0.4">
      <c r="A17">
        <v>3</v>
      </c>
      <c r="B17">
        <v>4</v>
      </c>
      <c r="C17" s="40">
        <f>(Rice!F17+Wheat!E17)</f>
        <v>2624.7900555555557</v>
      </c>
      <c r="D17" s="40">
        <f>Rice!K17+Wheat!J17</f>
        <v>47598.711519999997</v>
      </c>
      <c r="E17" s="40">
        <f>Rice!N17+Wheat!M17</f>
        <v>2226.6679466666665</v>
      </c>
      <c r="F17" s="41">
        <f>Rice!O17+Wheat!N17</f>
        <v>1970.8500000000001</v>
      </c>
      <c r="G17" s="41">
        <f>Rice!P17+Wheat!O17</f>
        <v>754.22</v>
      </c>
      <c r="H17" s="40">
        <f>(Rice!R17+Wheat!P17)</f>
        <v>55175.239522222211</v>
      </c>
      <c r="I17" s="50">
        <f>Rice!$S$2+Wheat!AE17</f>
        <v>33506.619033333343</v>
      </c>
      <c r="J17" s="5">
        <f>Rice!$T$2+Wheat!AF17</f>
        <v>31608.649999999998</v>
      </c>
      <c r="K17" s="50">
        <f>Rice!$Y$2+Wheat!AK17</f>
        <v>4388.598320000001</v>
      </c>
      <c r="L17" s="50">
        <f>Rice!$Z$2+Wheat!AL17</f>
        <v>60726.67071333334</v>
      </c>
      <c r="M17" s="50">
        <f>Rice!$R$2+Wheat!P17</f>
        <v>65115.26903333333</v>
      </c>
      <c r="N17" s="50">
        <f>Rice!AF17+Wheat!AR17</f>
        <v>186190.2</v>
      </c>
      <c r="O17" s="50">
        <f>Rice!AG17+Wheat!AS17</f>
        <v>400011.49999999994</v>
      </c>
      <c r="P17" s="50">
        <f t="shared" si="1"/>
        <v>334896.2309666666</v>
      </c>
      <c r="Q17" s="51">
        <f t="shared" si="2"/>
        <v>2.8593938528409808</v>
      </c>
      <c r="R17" s="51">
        <f t="shared" si="3"/>
        <v>6.1431290377565508</v>
      </c>
      <c r="AI17" s="6">
        <f>Rice!S17+Wheat!AE17</f>
        <v>26381.739522222226</v>
      </c>
      <c r="AJ17" s="6">
        <f>Rice!T17+Wheat!AF17</f>
        <v>28793.5</v>
      </c>
      <c r="AK17" s="6">
        <f>Rice!Y17+Wheat!AK17</f>
        <v>3990.6679466666665</v>
      </c>
      <c r="AL17" s="6">
        <f>Rice!Z17+Wheat!AL17</f>
        <v>51184.571575555558</v>
      </c>
      <c r="AM17" s="6">
        <f>Rice!U17+Wheat!AG17</f>
        <v>55175.239522222226</v>
      </c>
      <c r="AN17" s="18">
        <f>Rice!AF17+Wheat!AR17</f>
        <v>186190.2</v>
      </c>
      <c r="AO17" s="9">
        <f>Rice!AG17+Wheat!AS17</f>
        <v>400011.49999999994</v>
      </c>
      <c r="AP17" s="9">
        <f t="shared" si="5"/>
        <v>344836.26047777769</v>
      </c>
      <c r="AQ17" s="16">
        <f t="shared" si="6"/>
        <v>3.3745245442026683</v>
      </c>
      <c r="AR17" s="16">
        <f t="shared" si="0"/>
        <v>7.2498371273747244</v>
      </c>
    </row>
    <row r="18" spans="1:44" thickBot="1" x14ac:dyDescent="0.4">
      <c r="A18">
        <v>3</v>
      </c>
      <c r="B18">
        <v>5</v>
      </c>
      <c r="C18" s="40">
        <f>(Rice!F18+Wheat!E18)</f>
        <v>1314.6900555555558</v>
      </c>
      <c r="D18" s="40">
        <f>Rice!K18+Wheat!J18</f>
        <v>45150.596053333327</v>
      </c>
      <c r="E18" s="40">
        <f>Rice!N18+Wheat!M18</f>
        <v>2063.4880800000001</v>
      </c>
      <c r="F18" s="41">
        <f>Rice!O18+Wheat!N18</f>
        <v>1970.8500000000001</v>
      </c>
      <c r="G18" s="41">
        <f>Rice!P18+Wheat!O18</f>
        <v>754.22</v>
      </c>
      <c r="H18" s="40">
        <f>(Rice!R18+Wheat!P18)</f>
        <v>51253.844188888892</v>
      </c>
      <c r="I18" s="50">
        <f>Rice!$S$2+Wheat!AE18</f>
        <v>33506.619033333343</v>
      </c>
      <c r="J18" s="5">
        <f>Rice!$T$2+Wheat!AF18</f>
        <v>30354.194666666666</v>
      </c>
      <c r="K18" s="50">
        <f>Rice!$Y$2+Wheat!AK18</f>
        <v>4388.598320000001</v>
      </c>
      <c r="L18" s="50">
        <f>Rice!$Z$2+Wheat!AL18</f>
        <v>59472.215380000009</v>
      </c>
      <c r="M18" s="50">
        <f>Rice!$R$2+Wheat!P18</f>
        <v>63860.813699999999</v>
      </c>
      <c r="N18" s="50">
        <f>Rice!AF18+Wheat!AR18</f>
        <v>190291.5</v>
      </c>
      <c r="O18" s="50">
        <f>Rice!AG18+Wheat!AS18</f>
        <v>410997.10333333327</v>
      </c>
      <c r="P18" s="50">
        <f t="shared" si="1"/>
        <v>347136.28963333328</v>
      </c>
      <c r="Q18" s="51">
        <f t="shared" si="2"/>
        <v>2.9797850821935268</v>
      </c>
      <c r="R18" s="51">
        <f t="shared" si="3"/>
        <v>6.4358262840821476</v>
      </c>
      <c r="AI18" s="6">
        <f>Rice!S18+Wheat!AE18</f>
        <v>23439.840855555558</v>
      </c>
      <c r="AJ18" s="6">
        <f>Rice!T18+Wheat!AF18</f>
        <v>27814.003333333334</v>
      </c>
      <c r="AK18" s="6">
        <f>Rice!Y18+Wheat!AK18</f>
        <v>3827.4880800000001</v>
      </c>
      <c r="AL18" s="6">
        <f>Rice!Z18+Wheat!AL18</f>
        <v>47426.356108888896</v>
      </c>
      <c r="AM18" s="6">
        <f>Rice!U18+Wheat!AG18</f>
        <v>51253.844188888892</v>
      </c>
      <c r="AN18" s="18">
        <f>Rice!AF18+Wheat!AR18</f>
        <v>190291.5</v>
      </c>
      <c r="AO18" s="9">
        <f>Rice!AG18+Wheat!AS18</f>
        <v>410997.10333333327</v>
      </c>
      <c r="AP18" s="9">
        <f t="shared" si="5"/>
        <v>359743.25914444437</v>
      </c>
      <c r="AQ18" s="16">
        <f t="shared" si="6"/>
        <v>3.7127263917747757</v>
      </c>
      <c r="AR18" s="16">
        <f t="shared" si="0"/>
        <v>8.0188541920613954</v>
      </c>
    </row>
    <row r="19" spans="1:44" thickBot="1" x14ac:dyDescent="0.4">
      <c r="A19">
        <v>3</v>
      </c>
      <c r="B19">
        <v>6</v>
      </c>
      <c r="C19" s="40">
        <f>(Rice!F19+Wheat!E19)</f>
        <v>1314.6900555555558</v>
      </c>
      <c r="D19" s="40">
        <f>Rice!K19+Wheat!J19</f>
        <v>43082.942719999999</v>
      </c>
      <c r="E19" s="40">
        <f>Rice!N19+Wheat!M19</f>
        <v>2063.4880800000001</v>
      </c>
      <c r="F19" s="41">
        <f>Rice!O19+Wheat!N19</f>
        <v>1970.8500000000001</v>
      </c>
      <c r="G19" s="41">
        <f>Rice!P19+Wheat!O19</f>
        <v>754.22</v>
      </c>
      <c r="H19" s="40">
        <f>(Rice!R19+Wheat!P19)</f>
        <v>49186.190855555556</v>
      </c>
      <c r="I19" s="50">
        <f>Rice!$S$2+Wheat!AE19</f>
        <v>33506.619033333343</v>
      </c>
      <c r="J19" s="5">
        <f>Rice!$T$2+Wheat!AF19</f>
        <v>29554.199999999997</v>
      </c>
      <c r="K19" s="50">
        <f>Rice!$Y$2+Wheat!AK19</f>
        <v>4388.598320000001</v>
      </c>
      <c r="L19" s="50">
        <f>Rice!$Z$2+Wheat!AL19</f>
        <v>58672.220713333329</v>
      </c>
      <c r="M19" s="50">
        <f>Rice!$R$2+Wheat!P19</f>
        <v>63060.819033333333</v>
      </c>
      <c r="N19" s="50">
        <f>Rice!AF19+Wheat!AR19</f>
        <v>194304.59999999998</v>
      </c>
      <c r="O19" s="50">
        <f>Rice!AG19+Wheat!AS19</f>
        <v>417458.16666666663</v>
      </c>
      <c r="P19" s="50">
        <f t="shared" si="1"/>
        <v>354397.34763333329</v>
      </c>
      <c r="Q19" s="51">
        <f t="shared" si="2"/>
        <v>3.0812254420180061</v>
      </c>
      <c r="R19" s="51">
        <f t="shared" si="3"/>
        <v>6.6199293486182338</v>
      </c>
      <c r="AI19" s="6">
        <f>Rice!S19+Wheat!AE19</f>
        <v>23439.840855555558</v>
      </c>
      <c r="AJ19" s="6">
        <f>Rice!T19+Wheat!AF19</f>
        <v>25746.35</v>
      </c>
      <c r="AK19" s="6">
        <f>Rice!Y19+Wheat!AK19</f>
        <v>3827.4880800000001</v>
      </c>
      <c r="AL19" s="6">
        <f>Rice!Z19+Wheat!AL19</f>
        <v>45358.702775555554</v>
      </c>
      <c r="AM19" s="6">
        <f>Rice!U19+Wheat!AG19</f>
        <v>49186.190855555556</v>
      </c>
      <c r="AN19" s="18">
        <f>Rice!AF19+Wheat!AR19</f>
        <v>194304.59999999998</v>
      </c>
      <c r="AO19" s="9">
        <f>Rice!AG19+Wheat!AS19</f>
        <v>417458.16666666663</v>
      </c>
      <c r="AP19" s="9">
        <f t="shared" si="5"/>
        <v>368271.97581111104</v>
      </c>
      <c r="AQ19" s="16">
        <f t="shared" si="6"/>
        <v>3.9503892580462625</v>
      </c>
      <c r="AR19" s="16">
        <f t="shared" si="0"/>
        <v>8.4873042495323645</v>
      </c>
    </row>
    <row r="20" spans="1:44" ht="14.45" x14ac:dyDescent="0.35">
      <c r="C20" s="5">
        <f>(C2+C8+C14)/3</f>
        <v>7415.5929629629636</v>
      </c>
      <c r="D20" s="5">
        <f t="shared" ref="D20:H20" si="7">(D2+D8+D14)/3</f>
        <v>57485.489800000003</v>
      </c>
      <c r="E20" s="5">
        <f t="shared" si="7"/>
        <v>2928.0622000000003</v>
      </c>
      <c r="F20" s="5">
        <f t="shared" si="7"/>
        <v>1970.8500000000001</v>
      </c>
      <c r="G20" s="5">
        <f t="shared" si="7"/>
        <v>754.21999999999991</v>
      </c>
      <c r="H20" s="5">
        <f t="shared" si="7"/>
        <v>70554.214962962957</v>
      </c>
      <c r="I20" s="50">
        <f>Rice!$S$2+Wheat!AE20</f>
        <v>27727.339444444453</v>
      </c>
      <c r="J20" s="5">
        <f>Rice!$T$2+Wheat!AF20</f>
        <v>16924.849999999999</v>
      </c>
      <c r="K20" s="50">
        <f>Rice!$Y$2+Wheat!AK20</f>
        <v>2521.3058666666675</v>
      </c>
      <c r="L20" s="50">
        <f>Rice!$Z$2+Wheat!AL20</f>
        <v>42130.883577777779</v>
      </c>
      <c r="M20" s="50">
        <f>Rice!$R$2+Wheat!P20</f>
        <v>44652.189444444441</v>
      </c>
      <c r="N20" s="50">
        <f>Rice!AF20+Wheat!AR20</f>
        <v>0</v>
      </c>
      <c r="O20" s="50">
        <f>Rice!AG20+Wheat!AS20</f>
        <v>0</v>
      </c>
      <c r="P20" s="50">
        <f t="shared" si="1"/>
        <v>-44652.189444444441</v>
      </c>
      <c r="Q20" s="51">
        <f t="shared" si="2"/>
        <v>0</v>
      </c>
      <c r="R20" s="51">
        <f t="shared" si="3"/>
        <v>0</v>
      </c>
      <c r="AI20" s="6"/>
    </row>
    <row r="21" spans="1:44" ht="14.45" x14ac:dyDescent="0.35">
      <c r="C21" s="5">
        <f t="shared" ref="C21:H24" si="8">(C3+C9+C15)/3</f>
        <v>7415.5929629629636</v>
      </c>
      <c r="D21" s="5">
        <f t="shared" si="8"/>
        <v>57485.489800000003</v>
      </c>
      <c r="E21" s="5">
        <f t="shared" si="8"/>
        <v>2928.0622000000003</v>
      </c>
      <c r="F21" s="5">
        <f t="shared" si="8"/>
        <v>1970.8500000000001</v>
      </c>
      <c r="G21" s="5">
        <f t="shared" si="8"/>
        <v>754.21999999999991</v>
      </c>
      <c r="H21" s="5">
        <f t="shared" si="8"/>
        <v>70554.214962962971</v>
      </c>
      <c r="I21" s="50">
        <f>Rice!$S$2+Wheat!AE21</f>
        <v>27727.339444444453</v>
      </c>
      <c r="J21" s="5">
        <f>Rice!$T$2+Wheat!AF21</f>
        <v>16924.849999999999</v>
      </c>
      <c r="K21" s="50">
        <f>Rice!$Y$2+Wheat!AK21</f>
        <v>2521.3058666666675</v>
      </c>
      <c r="L21" s="50">
        <f>Rice!$Z$2+Wheat!AL21</f>
        <v>42130.883577777779</v>
      </c>
      <c r="M21" s="50">
        <f>Rice!$R$2+Wheat!P21</f>
        <v>44652.189444444441</v>
      </c>
      <c r="N21" s="50">
        <f>Rice!AF21+Wheat!AR21</f>
        <v>0</v>
      </c>
      <c r="O21" s="50">
        <f>Rice!AG21+Wheat!AS21</f>
        <v>0</v>
      </c>
      <c r="P21" s="50">
        <f t="shared" si="1"/>
        <v>-44652.189444444441</v>
      </c>
      <c r="Q21" s="51">
        <f t="shared" si="2"/>
        <v>0</v>
      </c>
      <c r="R21" s="51">
        <f t="shared" si="3"/>
        <v>0</v>
      </c>
    </row>
    <row r="22" spans="1:44" ht="14.45" x14ac:dyDescent="0.35">
      <c r="C22" s="5">
        <f t="shared" si="8"/>
        <v>3708.739</v>
      </c>
      <c r="D22" s="5">
        <f t="shared" si="8"/>
        <v>50251.187399999995</v>
      </c>
      <c r="E22" s="5">
        <f t="shared" si="8"/>
        <v>2542.2986000000001</v>
      </c>
      <c r="F22" s="5">
        <f t="shared" si="8"/>
        <v>1970.8500000000001</v>
      </c>
      <c r="G22" s="5">
        <f t="shared" si="8"/>
        <v>754.21999999999991</v>
      </c>
      <c r="H22" s="5">
        <f t="shared" si="8"/>
        <v>59227.295000000006</v>
      </c>
      <c r="I22" s="50">
        <f>Rice!$S$2+Wheat!AE22</f>
        <v>27727.339444444453</v>
      </c>
      <c r="J22" s="5">
        <f>Rice!$T$2+Wheat!AF22</f>
        <v>16924.849999999999</v>
      </c>
      <c r="K22" s="50">
        <f>Rice!$Y$2+Wheat!AK22</f>
        <v>2521.3058666666675</v>
      </c>
      <c r="L22" s="50">
        <f>Rice!$Z$2+Wheat!AL22</f>
        <v>42130.883577777779</v>
      </c>
      <c r="M22" s="50">
        <f>Rice!$R$2+Wheat!P22</f>
        <v>44652.189444444441</v>
      </c>
      <c r="N22" s="50">
        <f>Rice!AF22+Wheat!AR22</f>
        <v>0</v>
      </c>
      <c r="O22" s="50">
        <f>Rice!AG22+Wheat!AS22</f>
        <v>0</v>
      </c>
      <c r="P22" s="50">
        <f t="shared" si="1"/>
        <v>-44652.189444444441</v>
      </c>
      <c r="Q22" s="51">
        <f t="shared" si="2"/>
        <v>0</v>
      </c>
      <c r="R22" s="51">
        <f t="shared" si="3"/>
        <v>0</v>
      </c>
    </row>
    <row r="23" spans="1:44" ht="14.45" x14ac:dyDescent="0.35">
      <c r="C23" s="5">
        <f t="shared" si="8"/>
        <v>2624.7900555555557</v>
      </c>
      <c r="D23" s="5">
        <f t="shared" si="8"/>
        <v>48721.207159999991</v>
      </c>
      <c r="E23" s="5">
        <f t="shared" si="8"/>
        <v>2351.3896844444444</v>
      </c>
      <c r="F23" s="5">
        <f t="shared" si="8"/>
        <v>1970.8500000000001</v>
      </c>
      <c r="G23" s="5">
        <f t="shared" si="8"/>
        <v>754.21999999999991</v>
      </c>
      <c r="H23" s="5">
        <f t="shared" si="8"/>
        <v>56422.45689999999</v>
      </c>
      <c r="I23" s="50">
        <f>Rice!$S$2+Wheat!AE23</f>
        <v>27727.339444444453</v>
      </c>
      <c r="J23" s="5">
        <f>Rice!$T$2+Wheat!AF23</f>
        <v>16924.849999999999</v>
      </c>
      <c r="K23" s="50">
        <f>Rice!$Y$2+Wheat!AK23</f>
        <v>2521.3058666666675</v>
      </c>
      <c r="L23" s="50">
        <f>Rice!$Z$2+Wheat!AL23</f>
        <v>42130.883577777779</v>
      </c>
      <c r="M23" s="50">
        <f>Rice!$R$2+Wheat!P23</f>
        <v>44652.189444444441</v>
      </c>
      <c r="N23" s="50">
        <f>Rice!AF23+Wheat!AR23</f>
        <v>0</v>
      </c>
      <c r="O23" s="50">
        <f>Rice!AG23+Wheat!AS23</f>
        <v>0</v>
      </c>
      <c r="P23" s="50">
        <f t="shared" si="1"/>
        <v>-44652.189444444441</v>
      </c>
      <c r="Q23" s="51">
        <f t="shared" si="2"/>
        <v>0</v>
      </c>
      <c r="R23" s="51">
        <f t="shared" si="3"/>
        <v>0</v>
      </c>
    </row>
    <row r="24" spans="1:44" ht="14.45" x14ac:dyDescent="0.35">
      <c r="C24" s="5">
        <f t="shared" si="8"/>
        <v>1314.6900555555558</v>
      </c>
      <c r="D24" s="5">
        <f t="shared" si="8"/>
        <v>46756.095488888888</v>
      </c>
      <c r="E24" s="5">
        <f t="shared" si="8"/>
        <v>2220.9734000000003</v>
      </c>
      <c r="F24" s="5">
        <f t="shared" si="8"/>
        <v>1970.8500000000001</v>
      </c>
      <c r="G24" s="5">
        <f t="shared" si="8"/>
        <v>754.21999999999991</v>
      </c>
      <c r="H24" s="5">
        <f t="shared" si="8"/>
        <v>53016.828944444445</v>
      </c>
      <c r="I24" s="50">
        <f>Rice!$S$2+Wheat!AE24</f>
        <v>27727.339444444453</v>
      </c>
      <c r="J24" s="5">
        <f>Rice!$T$2+Wheat!AF24</f>
        <v>16924.849999999999</v>
      </c>
      <c r="K24" s="50">
        <f>Rice!$Y$2+Wheat!AK24</f>
        <v>2521.3058666666675</v>
      </c>
      <c r="L24" s="50">
        <f>Rice!$Z$2+Wheat!AL24</f>
        <v>42130.883577777779</v>
      </c>
      <c r="M24" s="50">
        <f>Rice!$R$2+Wheat!P24</f>
        <v>44652.189444444441</v>
      </c>
      <c r="N24" s="50">
        <f>Rice!AF24+Wheat!AR24</f>
        <v>0</v>
      </c>
      <c r="O24" s="50">
        <f>Rice!AG24+Wheat!AS24</f>
        <v>0</v>
      </c>
      <c r="P24" s="50">
        <f t="shared" si="1"/>
        <v>-44652.189444444441</v>
      </c>
      <c r="Q24" s="51">
        <f t="shared" si="2"/>
        <v>0</v>
      </c>
      <c r="R24" s="51">
        <f t="shared" si="3"/>
        <v>0</v>
      </c>
    </row>
    <row r="25" spans="1:44" ht="14.45" x14ac:dyDescent="0.35">
      <c r="C25" s="5">
        <f>(C7+C13+C19)/3</f>
        <v>1314.6900555555558</v>
      </c>
      <c r="D25" s="5">
        <f t="shared" ref="D25:H25" si="9">(D7+D13+D19)/3</f>
        <v>44821.549577777776</v>
      </c>
      <c r="E25" s="5">
        <f t="shared" si="9"/>
        <v>2220.9734000000003</v>
      </c>
      <c r="F25" s="5">
        <f t="shared" si="9"/>
        <v>1970.8500000000001</v>
      </c>
      <c r="G25" s="5">
        <f t="shared" si="9"/>
        <v>754.21999999999991</v>
      </c>
      <c r="H25" s="5">
        <f t="shared" si="9"/>
        <v>51082.283033333333</v>
      </c>
      <c r="I25" s="50">
        <f>Rice!$S$2+Wheat!AE25</f>
        <v>27727.339444444453</v>
      </c>
      <c r="J25" s="5">
        <f>Rice!$T$2+Wheat!AF25</f>
        <v>16924.849999999999</v>
      </c>
      <c r="K25" s="50">
        <f>Rice!$Y$2+Wheat!AK25</f>
        <v>2521.3058666666675</v>
      </c>
      <c r="L25" s="50">
        <f>Rice!$Z$2+Wheat!AL25</f>
        <v>42130.883577777779</v>
      </c>
      <c r="M25" s="50">
        <f>Rice!$R$2+Wheat!P25</f>
        <v>44652.189444444441</v>
      </c>
      <c r="N25" s="50">
        <f>Rice!AF25+Wheat!AR25</f>
        <v>0</v>
      </c>
      <c r="O25" s="50">
        <f>Rice!AG25+Wheat!AS25</f>
        <v>0</v>
      </c>
      <c r="P25" s="50">
        <f t="shared" si="1"/>
        <v>-44652.189444444441</v>
      </c>
      <c r="Q25" s="51">
        <f t="shared" si="2"/>
        <v>0</v>
      </c>
      <c r="R25" s="51">
        <f t="shared" si="3"/>
        <v>0</v>
      </c>
    </row>
    <row r="26" spans="1:44" s="53" customFormat="1" ht="14.45" x14ac:dyDescent="0.35">
      <c r="C26" s="20">
        <f>AVERAGE(C23:C25)</f>
        <v>1751.3900555555556</v>
      </c>
      <c r="D26" s="20">
        <f>AVERAGE(D23:D25)</f>
        <v>46766.284075555544</v>
      </c>
      <c r="E26" s="20">
        <f t="shared" ref="E26:I26" si="10">AVERAGE(E23:E25)</f>
        <v>2264.4454948148154</v>
      </c>
      <c r="F26" s="20">
        <f t="shared" si="10"/>
        <v>1970.8500000000001</v>
      </c>
      <c r="G26" s="20">
        <f t="shared" si="10"/>
        <v>754.21999999999991</v>
      </c>
      <c r="H26" s="20">
        <f t="shared" si="10"/>
        <v>53507.18962592593</v>
      </c>
      <c r="I26" s="20">
        <f t="shared" si="10"/>
        <v>27727.339444444453</v>
      </c>
      <c r="J26" s="20">
        <f>AVERAGE(J23:J25)</f>
        <v>16924.849999999999</v>
      </c>
    </row>
    <row r="27" spans="1:44" ht="14.45" x14ac:dyDescent="0.35">
      <c r="C27" s="17">
        <f>(C20-C26)/C20</f>
        <v>0.76382332952970322</v>
      </c>
      <c r="D27" s="17">
        <f>(D20-D26)/D20</f>
        <v>0.18646802456999259</v>
      </c>
      <c r="E27" s="17">
        <f t="shared" ref="E27:J27" si="11">(E20-E26)/E20</f>
        <v>0.22664023502819877</v>
      </c>
      <c r="F27" s="17">
        <f t="shared" si="11"/>
        <v>0</v>
      </c>
      <c r="G27" s="17">
        <f t="shared" si="11"/>
        <v>0</v>
      </c>
      <c r="H27" s="17">
        <f>(H20-H26)/H20</f>
        <v>0.24161597355998884</v>
      </c>
      <c r="I27" s="17">
        <f t="shared" si="11"/>
        <v>0</v>
      </c>
      <c r="J27" s="17">
        <f t="shared" si="11"/>
        <v>0</v>
      </c>
    </row>
    <row r="28" spans="1:44" ht="14.45" x14ac:dyDescent="0.35">
      <c r="C28" s="17">
        <f>(C20-C22)/C20</f>
        <v>0.49987290045135629</v>
      </c>
      <c r="D28" s="17">
        <f t="shared" ref="D28:J28" si="12">(D20-D22)/D20</f>
        <v>0.12584571211220691</v>
      </c>
      <c r="E28" s="17">
        <f t="shared" si="12"/>
        <v>0.13174706466276576</v>
      </c>
      <c r="F28" s="17">
        <f t="shared" si="12"/>
        <v>0</v>
      </c>
      <c r="G28" s="17">
        <f t="shared" si="12"/>
        <v>0</v>
      </c>
      <c r="H28" s="17">
        <f t="shared" si="12"/>
        <v>0.16054207348078289</v>
      </c>
      <c r="I28" s="17">
        <f t="shared" si="12"/>
        <v>0</v>
      </c>
      <c r="J28" s="17">
        <f t="shared" si="12"/>
        <v>0</v>
      </c>
    </row>
    <row r="29" spans="1:44" ht="14.45" x14ac:dyDescent="0.35">
      <c r="C29" s="5"/>
    </row>
    <row r="30" spans="1:44" ht="14.45" x14ac:dyDescent="0.35">
      <c r="C30" s="5"/>
    </row>
    <row r="31" spans="1:44" ht="14.45" x14ac:dyDescent="0.35">
      <c r="C31" s="5"/>
    </row>
    <row r="32" spans="1:44" ht="14.45" x14ac:dyDescent="0.35">
      <c r="C32" s="5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1"/>
  <sheetViews>
    <sheetView topLeftCell="A13" workbookViewId="0">
      <selection activeCell="AB24" sqref="AB24"/>
    </sheetView>
  </sheetViews>
  <sheetFormatPr defaultRowHeight="15" x14ac:dyDescent="0.25"/>
  <cols>
    <col min="3" max="3" width="9.5703125" bestFit="1" customWidth="1"/>
    <col min="4" max="4" width="10.5703125" bestFit="1" customWidth="1"/>
    <col min="5" max="5" width="7.5703125" customWidth="1"/>
    <col min="6" max="6" width="9.140625" customWidth="1"/>
    <col min="62" max="62" width="9.5703125" bestFit="1" customWidth="1"/>
  </cols>
  <sheetData>
    <row r="1" spans="1:64" s="24" customFormat="1" ht="14.45" customHeight="1" x14ac:dyDescent="0.25">
      <c r="C1" s="76" t="s">
        <v>46</v>
      </c>
      <c r="D1" s="76"/>
      <c r="E1" s="76"/>
      <c r="F1" s="76"/>
      <c r="G1" s="76" t="s">
        <v>53</v>
      </c>
      <c r="H1" s="76"/>
      <c r="I1" s="76"/>
      <c r="J1" s="76"/>
      <c r="K1" s="76"/>
      <c r="L1" s="76" t="s">
        <v>54</v>
      </c>
      <c r="M1" s="76"/>
      <c r="N1" s="76"/>
      <c r="O1" s="73" t="s">
        <v>62</v>
      </c>
      <c r="P1" s="72" t="s">
        <v>55</v>
      </c>
      <c r="Q1" s="72" t="s">
        <v>56</v>
      </c>
      <c r="R1" s="73" t="s">
        <v>63</v>
      </c>
      <c r="S1" s="73" t="s">
        <v>57</v>
      </c>
      <c r="T1" s="74" t="s">
        <v>24</v>
      </c>
      <c r="U1" s="74" t="s">
        <v>25</v>
      </c>
      <c r="V1" s="74" t="s">
        <v>26</v>
      </c>
      <c r="W1" s="74" t="s">
        <v>35</v>
      </c>
      <c r="X1" s="73" t="s">
        <v>61</v>
      </c>
      <c r="Y1" s="73" t="s">
        <v>49</v>
      </c>
      <c r="Z1" s="73" t="s">
        <v>50</v>
      </c>
      <c r="AA1" s="74" t="s">
        <v>40</v>
      </c>
      <c r="AB1" s="79" t="s">
        <v>46</v>
      </c>
      <c r="AC1" s="79"/>
      <c r="AD1" s="79"/>
      <c r="AE1" s="79" t="s">
        <v>53</v>
      </c>
      <c r="AF1" s="79"/>
      <c r="AG1" s="79"/>
      <c r="AH1" s="79"/>
      <c r="AI1" s="79"/>
      <c r="AJ1" s="79" t="s">
        <v>54</v>
      </c>
      <c r="AK1" s="79"/>
      <c r="AL1" s="79"/>
      <c r="AM1" s="75" t="s">
        <v>62</v>
      </c>
      <c r="AN1" s="80" t="s">
        <v>55</v>
      </c>
      <c r="AO1" s="80" t="s">
        <v>56</v>
      </c>
      <c r="AP1" s="75" t="s">
        <v>63</v>
      </c>
      <c r="AQ1" s="75" t="s">
        <v>57</v>
      </c>
      <c r="AR1" s="78" t="s">
        <v>24</v>
      </c>
      <c r="AS1" s="78" t="s">
        <v>25</v>
      </c>
      <c r="AT1" s="78" t="s">
        <v>26</v>
      </c>
      <c r="AU1" s="78" t="s">
        <v>35</v>
      </c>
      <c r="AV1" s="75" t="s">
        <v>51</v>
      </c>
      <c r="AW1" s="75" t="s">
        <v>58</v>
      </c>
      <c r="AX1" s="75" t="s">
        <v>50</v>
      </c>
      <c r="AY1" s="78" t="s">
        <v>40</v>
      </c>
      <c r="AZ1" s="77" t="s">
        <v>21</v>
      </c>
      <c r="BA1" s="77" t="s">
        <v>24</v>
      </c>
      <c r="BB1" s="77" t="s">
        <v>25</v>
      </c>
      <c r="BC1" s="77" t="s">
        <v>26</v>
      </c>
      <c r="BD1" s="77" t="s">
        <v>23</v>
      </c>
      <c r="BE1" s="77" t="s">
        <v>52</v>
      </c>
      <c r="BF1" s="77" t="s">
        <v>59</v>
      </c>
      <c r="BG1" s="77" t="s">
        <v>60</v>
      </c>
      <c r="BH1" s="77" t="s">
        <v>44</v>
      </c>
      <c r="BI1" s="77" t="s">
        <v>45</v>
      </c>
    </row>
    <row r="2" spans="1:64" s="29" customFormat="1" ht="120" x14ac:dyDescent="0.25">
      <c r="A2" s="28" t="s">
        <v>0</v>
      </c>
      <c r="B2" s="28" t="s">
        <v>1</v>
      </c>
      <c r="C2" s="35" t="s">
        <v>2</v>
      </c>
      <c r="D2" s="35" t="s">
        <v>3</v>
      </c>
      <c r="E2" s="35" t="s">
        <v>4</v>
      </c>
      <c r="F2" s="35" t="s">
        <v>47</v>
      </c>
      <c r="G2" s="35" t="s">
        <v>6</v>
      </c>
      <c r="H2" s="35" t="s">
        <v>7</v>
      </c>
      <c r="I2" s="35" t="s">
        <v>8</v>
      </c>
      <c r="J2" s="35" t="s">
        <v>9</v>
      </c>
      <c r="K2" s="35" t="s">
        <v>48</v>
      </c>
      <c r="L2" s="35" t="s">
        <v>11</v>
      </c>
      <c r="M2" s="35" t="s">
        <v>12</v>
      </c>
      <c r="N2" s="36" t="s">
        <v>48</v>
      </c>
      <c r="O2" s="73"/>
      <c r="P2" s="72"/>
      <c r="Q2" s="72"/>
      <c r="R2" s="73"/>
      <c r="S2" s="73"/>
      <c r="T2" s="74"/>
      <c r="U2" s="74"/>
      <c r="V2" s="74"/>
      <c r="W2" s="74"/>
      <c r="X2" s="73"/>
      <c r="Y2" s="73"/>
      <c r="Z2" s="73"/>
      <c r="AA2" s="74"/>
      <c r="AB2" s="37" t="s">
        <v>17</v>
      </c>
      <c r="AC2" s="37" t="s">
        <v>18</v>
      </c>
      <c r="AD2" s="37" t="s">
        <v>47</v>
      </c>
      <c r="AE2" s="37" t="s">
        <v>6</v>
      </c>
      <c r="AF2" s="37" t="s">
        <v>7</v>
      </c>
      <c r="AG2" s="37" t="s">
        <v>8</v>
      </c>
      <c r="AH2" s="37" t="s">
        <v>16</v>
      </c>
      <c r="AI2" s="37" t="s">
        <v>48</v>
      </c>
      <c r="AJ2" s="37" t="s">
        <v>19</v>
      </c>
      <c r="AK2" s="37" t="s">
        <v>12</v>
      </c>
      <c r="AL2" s="37" t="s">
        <v>48</v>
      </c>
      <c r="AM2" s="75"/>
      <c r="AN2" s="80"/>
      <c r="AO2" s="80"/>
      <c r="AP2" s="75"/>
      <c r="AQ2" s="75"/>
      <c r="AR2" s="78"/>
      <c r="AS2" s="78"/>
      <c r="AT2" s="78"/>
      <c r="AU2" s="78"/>
      <c r="AV2" s="75"/>
      <c r="AW2" s="75"/>
      <c r="AX2" s="75"/>
      <c r="AY2" s="78"/>
      <c r="AZ2" s="77"/>
      <c r="BA2" s="77"/>
      <c r="BB2" s="77"/>
      <c r="BC2" s="77"/>
      <c r="BD2" s="77"/>
      <c r="BE2" s="77"/>
      <c r="BF2" s="77"/>
      <c r="BG2" s="77"/>
      <c r="BH2" s="77"/>
      <c r="BI2" s="77"/>
    </row>
    <row r="3" spans="1:64" s="29" customFormat="1" ht="14.45" x14ac:dyDescent="0.35">
      <c r="A3" s="28"/>
      <c r="B3" s="28"/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 t="s">
        <v>81</v>
      </c>
      <c r="T3" t="s">
        <v>82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88</v>
      </c>
      <c r="AA3" t="s">
        <v>89</v>
      </c>
      <c r="AB3" t="s">
        <v>90</v>
      </c>
      <c r="AC3" t="s">
        <v>91</v>
      </c>
      <c r="AD3" t="s">
        <v>92</v>
      </c>
      <c r="AE3" t="s">
        <v>93</v>
      </c>
      <c r="AF3" t="s">
        <v>94</v>
      </c>
      <c r="AG3" t="s">
        <v>95</v>
      </c>
      <c r="AH3" t="s">
        <v>96</v>
      </c>
      <c r="AI3" t="s">
        <v>97</v>
      </c>
      <c r="AJ3" t="s">
        <v>98</v>
      </c>
      <c r="AK3" t="s">
        <v>99</v>
      </c>
      <c r="AL3" t="s">
        <v>100</v>
      </c>
      <c r="AM3" t="s">
        <v>101</v>
      </c>
      <c r="AN3" t="s">
        <v>102</v>
      </c>
      <c r="AO3" t="s">
        <v>103</v>
      </c>
      <c r="AP3" t="s">
        <v>104</v>
      </c>
      <c r="AQ3" t="s">
        <v>105</v>
      </c>
      <c r="AR3" t="s">
        <v>106</v>
      </c>
      <c r="AS3" t="s">
        <v>107</v>
      </c>
      <c r="AT3" t="s">
        <v>108</v>
      </c>
      <c r="AU3" t="s">
        <v>109</v>
      </c>
      <c r="AV3" t="s">
        <v>110</v>
      </c>
      <c r="AW3" t="s">
        <v>111</v>
      </c>
      <c r="AX3" t="s">
        <v>112</v>
      </c>
      <c r="AY3" t="s">
        <v>113</v>
      </c>
      <c r="AZ3" t="s">
        <v>114</v>
      </c>
      <c r="BA3" t="s">
        <v>115</v>
      </c>
      <c r="BB3" t="s">
        <v>116</v>
      </c>
      <c r="BC3" t="s">
        <v>117</v>
      </c>
      <c r="BD3" t="s">
        <v>118</v>
      </c>
      <c r="BE3" t="s">
        <v>119</v>
      </c>
      <c r="BF3" t="s">
        <v>120</v>
      </c>
      <c r="BG3" t="s">
        <v>121</v>
      </c>
      <c r="BH3" t="s">
        <v>122</v>
      </c>
      <c r="BI3" t="s">
        <v>123</v>
      </c>
    </row>
    <row r="4" spans="1:64" ht="14.45" x14ac:dyDescent="0.35">
      <c r="A4" s="23"/>
      <c r="B4" s="23"/>
      <c r="C4" s="30" t="s">
        <v>32</v>
      </c>
      <c r="D4" s="30" t="s">
        <v>32</v>
      </c>
      <c r="E4" s="30" t="s">
        <v>32</v>
      </c>
      <c r="F4" s="30" t="s">
        <v>32</v>
      </c>
      <c r="G4" s="30" t="s">
        <v>32</v>
      </c>
      <c r="H4" s="30" t="s">
        <v>32</v>
      </c>
      <c r="I4" s="30" t="s">
        <v>32</v>
      </c>
      <c r="J4" s="30" t="s">
        <v>32</v>
      </c>
      <c r="K4" s="30" t="s">
        <v>32</v>
      </c>
      <c r="L4" s="30" t="s">
        <v>32</v>
      </c>
      <c r="M4" s="30" t="s">
        <v>32</v>
      </c>
      <c r="N4" s="30" t="s">
        <v>32</v>
      </c>
      <c r="O4" s="30" t="s">
        <v>32</v>
      </c>
      <c r="P4" s="30" t="s">
        <v>32</v>
      </c>
      <c r="Q4" s="30" t="s">
        <v>32</v>
      </c>
      <c r="R4" s="30"/>
      <c r="S4" s="30" t="s">
        <v>32</v>
      </c>
      <c r="T4" s="30" t="s">
        <v>32</v>
      </c>
      <c r="U4" s="30" t="s">
        <v>32</v>
      </c>
      <c r="V4" s="30" t="s">
        <v>32</v>
      </c>
      <c r="W4" s="30" t="s">
        <v>32</v>
      </c>
      <c r="X4" s="30" t="s">
        <v>32</v>
      </c>
      <c r="Y4" s="30" t="s">
        <v>32</v>
      </c>
      <c r="Z4" s="30" t="s">
        <v>32</v>
      </c>
      <c r="AA4" s="30" t="s">
        <v>32</v>
      </c>
      <c r="AB4" s="31" t="s">
        <v>33</v>
      </c>
      <c r="AC4" s="31" t="s">
        <v>33</v>
      </c>
      <c r="AD4" s="31" t="s">
        <v>33</v>
      </c>
      <c r="AE4" s="31" t="s">
        <v>33</v>
      </c>
      <c r="AF4" s="31" t="s">
        <v>33</v>
      </c>
      <c r="AG4" s="31" t="s">
        <v>33</v>
      </c>
      <c r="AH4" s="31" t="s">
        <v>33</v>
      </c>
      <c r="AI4" s="31" t="s">
        <v>33</v>
      </c>
      <c r="AJ4" s="31" t="s">
        <v>33</v>
      </c>
      <c r="AK4" s="31" t="s">
        <v>33</v>
      </c>
      <c r="AL4" s="31" t="s">
        <v>33</v>
      </c>
      <c r="AM4" s="31" t="s">
        <v>33</v>
      </c>
      <c r="AN4" s="31" t="s">
        <v>33</v>
      </c>
      <c r="AO4" s="31" t="s">
        <v>33</v>
      </c>
      <c r="AP4" s="31"/>
      <c r="AQ4" s="31" t="s">
        <v>33</v>
      </c>
      <c r="AR4" s="31" t="s">
        <v>33</v>
      </c>
      <c r="AS4" s="31" t="s">
        <v>33</v>
      </c>
      <c r="AT4" s="31" t="s">
        <v>33</v>
      </c>
      <c r="AU4" s="31" t="s">
        <v>33</v>
      </c>
      <c r="AV4" s="31" t="s">
        <v>33</v>
      </c>
      <c r="AW4" s="31" t="s">
        <v>33</v>
      </c>
      <c r="AX4" s="31" t="s">
        <v>33</v>
      </c>
      <c r="AY4" s="31" t="s">
        <v>33</v>
      </c>
      <c r="AZ4" s="24" t="s">
        <v>34</v>
      </c>
      <c r="BA4" s="24" t="s">
        <v>34</v>
      </c>
      <c r="BB4" s="24" t="s">
        <v>34</v>
      </c>
      <c r="BC4" s="24" t="s">
        <v>34</v>
      </c>
      <c r="BD4" s="24" t="s">
        <v>34</v>
      </c>
      <c r="BE4" s="24" t="s">
        <v>34</v>
      </c>
      <c r="BF4" s="24" t="s">
        <v>34</v>
      </c>
      <c r="BG4" s="24" t="s">
        <v>34</v>
      </c>
      <c r="BH4" s="24" t="s">
        <v>34</v>
      </c>
      <c r="BI4" s="24" t="s">
        <v>34</v>
      </c>
    </row>
    <row r="5" spans="1:64" ht="14.45" x14ac:dyDescent="0.35">
      <c r="A5" s="24">
        <v>1</v>
      </c>
      <c r="B5" s="24">
        <v>1</v>
      </c>
      <c r="C5" s="25">
        <v>1976.7884444444444</v>
      </c>
      <c r="D5" s="25">
        <v>1381.2323333333336</v>
      </c>
      <c r="E5" s="25">
        <f>188.16+789.58</f>
        <v>977.74</v>
      </c>
      <c r="F5" s="25">
        <f>SUM(C5:E5)</f>
        <v>4335.7607777777775</v>
      </c>
      <c r="G5" s="25">
        <v>183.75</v>
      </c>
      <c r="H5" s="25">
        <v>14747.899999999998</v>
      </c>
      <c r="I5" s="25">
        <v>1993.2</v>
      </c>
      <c r="J5" s="25">
        <v>19542.822800000005</v>
      </c>
      <c r="K5" s="32">
        <f>SUM(G5:J5)</f>
        <v>36467.6728</v>
      </c>
      <c r="L5" s="25">
        <v>47.04</v>
      </c>
      <c r="M5" s="32">
        <v>2290.5158666666675</v>
      </c>
      <c r="N5" s="32">
        <f>SUM(L5:M5)</f>
        <v>2337.5558666666675</v>
      </c>
      <c r="O5" s="25">
        <v>1126.2</v>
      </c>
      <c r="P5" s="25">
        <v>385</v>
      </c>
      <c r="Q5" s="25">
        <v>44636.409444444442</v>
      </c>
      <c r="R5" s="5">
        <v>2846.7097859977325</v>
      </c>
      <c r="S5" s="25">
        <v>27711.559444444454</v>
      </c>
      <c r="T5" s="25">
        <v>16924.849999999999</v>
      </c>
      <c r="U5" s="25">
        <v>2521.3058666666675</v>
      </c>
      <c r="V5" s="25">
        <v>42115.10357777778</v>
      </c>
      <c r="W5" s="25">
        <v>97857.9</v>
      </c>
      <c r="X5" s="26">
        <v>218673.33666666667</v>
      </c>
      <c r="Y5" s="33">
        <v>174036.92722222221</v>
      </c>
      <c r="Z5" s="34">
        <v>4.8989902948809707</v>
      </c>
      <c r="AA5" s="34">
        <v>2.1923335953308767</v>
      </c>
      <c r="AB5" s="33">
        <v>2228.2002222222222</v>
      </c>
      <c r="AC5" s="25">
        <v>849.90788888888881</v>
      </c>
      <c r="AD5" s="33">
        <v>3078.1081111111112</v>
      </c>
      <c r="AE5" s="25">
        <v>1470</v>
      </c>
      <c r="AF5" s="33">
        <v>14327.899999999998</v>
      </c>
      <c r="AG5" s="25">
        <v>364</v>
      </c>
      <c r="AH5" s="25">
        <v>3804.1964400000002</v>
      </c>
      <c r="AI5" s="33">
        <v>19966.096439999998</v>
      </c>
      <c r="AJ5" s="25">
        <v>15.68</v>
      </c>
      <c r="AK5" s="33">
        <v>457.9684933333333</v>
      </c>
      <c r="AL5" s="33">
        <v>473.64849333333331</v>
      </c>
      <c r="AM5" s="25">
        <v>844.65000000000009</v>
      </c>
      <c r="AN5" s="25">
        <v>369.22</v>
      </c>
      <c r="AO5" s="33">
        <v>24731.723044444399</v>
      </c>
      <c r="AP5" s="33">
        <f>(AO5/(1.96))/8</f>
        <v>1577.2782553854847</v>
      </c>
      <c r="AQ5" s="25">
        <v>8569.8230444444453</v>
      </c>
      <c r="AR5" s="25">
        <v>16161.899999999998</v>
      </c>
      <c r="AS5" s="25">
        <v>1943.6484933333334</v>
      </c>
      <c r="AT5" s="25">
        <v>22788.074551111113</v>
      </c>
      <c r="AU5" s="25">
        <v>76763.399999999994</v>
      </c>
      <c r="AV5" s="25">
        <v>158254.16666666666</v>
      </c>
      <c r="AW5" s="25">
        <v>81490.766666666663</v>
      </c>
      <c r="AX5" s="27">
        <v>6.3988330445991997</v>
      </c>
      <c r="AY5" s="27">
        <v>3.1038435883359758</v>
      </c>
      <c r="AZ5" s="25">
        <v>36297.162488888898</v>
      </c>
      <c r="BA5" s="25">
        <v>33086.75</v>
      </c>
      <c r="BB5" s="25">
        <v>4464.9543600000006</v>
      </c>
      <c r="BC5" s="25">
        <v>64918.958128888888</v>
      </c>
      <c r="BD5" s="25">
        <v>69383.912488888906</v>
      </c>
      <c r="BE5" s="25">
        <v>174621.3</v>
      </c>
      <c r="BF5" s="25">
        <v>376927.5033333333</v>
      </c>
      <c r="BG5" s="25">
        <v>307543.59084444441</v>
      </c>
      <c r="BH5" s="27">
        <v>2.5167404623941287</v>
      </c>
      <c r="BI5" s="27">
        <v>5.4324913342656238</v>
      </c>
      <c r="BJ5" s="5">
        <f>(BG5+BG11+BG17)/3</f>
        <v>301720.04115555558</v>
      </c>
      <c r="BK5" s="5"/>
      <c r="BL5" s="5"/>
    </row>
    <row r="6" spans="1:64" ht="14.45" x14ac:dyDescent="0.35">
      <c r="A6" s="24">
        <v>1</v>
      </c>
      <c r="B6" s="24">
        <v>2</v>
      </c>
      <c r="C6" s="25">
        <v>1976.7884444444444</v>
      </c>
      <c r="D6" s="25">
        <v>1381.2323333333336</v>
      </c>
      <c r="E6" s="25">
        <f>188.16+789.58</f>
        <v>977.74</v>
      </c>
      <c r="F6" s="25">
        <f t="shared" ref="F6:F22" si="0">SUM(C6:E6)</f>
        <v>4335.7607777777775</v>
      </c>
      <c r="G6" s="25">
        <v>183.75</v>
      </c>
      <c r="H6" s="25">
        <v>14747.899999999998</v>
      </c>
      <c r="I6" s="25">
        <v>1993.2</v>
      </c>
      <c r="J6" s="25">
        <v>19542.822800000005</v>
      </c>
      <c r="K6" s="32">
        <f t="shared" ref="K6:K22" si="1">SUM(G6:J6)</f>
        <v>36467.6728</v>
      </c>
      <c r="L6" s="25">
        <v>47.04</v>
      </c>
      <c r="M6" s="26">
        <v>2290.5158666666675</v>
      </c>
      <c r="N6" s="32">
        <f t="shared" ref="N6:N22" si="2">SUM(L6:M6)</f>
        <v>2337.5558666666675</v>
      </c>
      <c r="O6" s="25">
        <v>1126.2</v>
      </c>
      <c r="P6" s="25">
        <v>385</v>
      </c>
      <c r="Q6" s="25">
        <v>44636.409444444442</v>
      </c>
      <c r="R6" s="5">
        <v>2846.7097859977325</v>
      </c>
      <c r="S6" s="25">
        <v>27711.559444444454</v>
      </c>
      <c r="T6" s="25">
        <v>16924.849999999999</v>
      </c>
      <c r="U6" s="25">
        <v>2521.3058666666675</v>
      </c>
      <c r="V6" s="25">
        <v>42115.10357777778</v>
      </c>
      <c r="W6" s="25">
        <v>99239.7</v>
      </c>
      <c r="X6" s="25">
        <v>221569.50833333333</v>
      </c>
      <c r="Y6" s="33">
        <v>176933.0988888889</v>
      </c>
      <c r="Z6" s="34">
        <v>4.9638739112540868</v>
      </c>
      <c r="AA6" s="34">
        <v>2.2232903863720517</v>
      </c>
      <c r="AB6" s="25">
        <v>2228.2002222222222</v>
      </c>
      <c r="AC6" s="25">
        <v>849.90788888888881</v>
      </c>
      <c r="AD6" s="33">
        <v>3078.1081111111112</v>
      </c>
      <c r="AE6" s="25">
        <v>1470</v>
      </c>
      <c r="AF6" s="25">
        <v>14327.899999999998</v>
      </c>
      <c r="AG6" s="25">
        <v>364</v>
      </c>
      <c r="AH6" s="25">
        <v>3804.1964400000002</v>
      </c>
      <c r="AI6" s="33">
        <v>19966.096439999998</v>
      </c>
      <c r="AJ6" s="25">
        <v>15.68</v>
      </c>
      <c r="AK6" s="25">
        <v>457.9684933333333</v>
      </c>
      <c r="AL6" s="33">
        <v>473.64849333333331</v>
      </c>
      <c r="AM6" s="25">
        <v>844.65000000000009</v>
      </c>
      <c r="AN6" s="25">
        <v>369.22</v>
      </c>
      <c r="AO6" s="33">
        <v>24731.723044444447</v>
      </c>
      <c r="AP6" s="33">
        <f t="shared" ref="AP6:AP22" si="3">(AO6/(1.96))/8</f>
        <v>1577.2782553854877</v>
      </c>
      <c r="AQ6" s="25">
        <v>8569.8230444444453</v>
      </c>
      <c r="AR6" s="25">
        <v>16161.899999999998</v>
      </c>
      <c r="AS6" s="25">
        <v>1943.6484933333334</v>
      </c>
      <c r="AT6" s="25">
        <v>22788.074551111113</v>
      </c>
      <c r="AU6" s="25">
        <v>77763</v>
      </c>
      <c r="AV6" s="25">
        <v>160725.5</v>
      </c>
      <c r="AW6" s="25">
        <v>82962.5</v>
      </c>
      <c r="AX6" s="27">
        <v>6.4987586878264105</v>
      </c>
      <c r="AY6" s="27">
        <v>3.1442613141128519</v>
      </c>
      <c r="AZ6" s="25">
        <v>36297.162488888898</v>
      </c>
      <c r="BA6" s="25">
        <v>33086.75</v>
      </c>
      <c r="BB6" s="25">
        <v>4464.9543600000006</v>
      </c>
      <c r="BC6" s="25">
        <v>64918.958128888888</v>
      </c>
      <c r="BD6" s="25">
        <v>69383.912488888891</v>
      </c>
      <c r="BE6" s="25">
        <v>177002.7</v>
      </c>
      <c r="BF6" s="25">
        <v>382295.0083333333</v>
      </c>
      <c r="BG6" s="25">
        <v>312911.09584444441</v>
      </c>
      <c r="BH6" s="27">
        <v>2.5510625395814217</v>
      </c>
      <c r="BI6" s="27">
        <v>5.5098508374625581</v>
      </c>
      <c r="BJ6" s="5">
        <f t="shared" ref="BJ6:BJ10" si="4">(BG6+BG12+BG18)/3</f>
        <v>307235.0650444444</v>
      </c>
      <c r="BK6" s="5"/>
      <c r="BL6" s="5"/>
    </row>
    <row r="7" spans="1:64" ht="14.45" x14ac:dyDescent="0.35">
      <c r="A7" s="24">
        <v>1</v>
      </c>
      <c r="B7" s="24">
        <v>3</v>
      </c>
      <c r="C7" s="25">
        <v>1060.6308333333334</v>
      </c>
      <c r="D7" s="25">
        <v>249.47900000000004</v>
      </c>
      <c r="E7" s="25">
        <v>422.32500000000005</v>
      </c>
      <c r="F7" s="25">
        <f t="shared" si="0"/>
        <v>1732.4348333333335</v>
      </c>
      <c r="G7" s="25">
        <v>294</v>
      </c>
      <c r="H7" s="25">
        <v>13474.3</v>
      </c>
      <c r="I7" s="25">
        <v>351.39999999999992</v>
      </c>
      <c r="J7" s="25">
        <v>16821.068759999998</v>
      </c>
      <c r="K7" s="32">
        <f t="shared" si="1"/>
        <v>30940.768759999999</v>
      </c>
      <c r="L7" s="25">
        <v>62.72</v>
      </c>
      <c r="M7" s="25">
        <v>1910.1676399999999</v>
      </c>
      <c r="N7" s="32">
        <f t="shared" si="2"/>
        <v>1972.8876399999999</v>
      </c>
      <c r="O7" s="25">
        <v>1126.2</v>
      </c>
      <c r="P7" s="25">
        <v>385</v>
      </c>
      <c r="Q7" s="25">
        <v>36141.511233333331</v>
      </c>
      <c r="R7" s="5">
        <v>2304.9433184523809</v>
      </c>
      <c r="S7" s="25">
        <v>22021.811233333334</v>
      </c>
      <c r="T7" s="25">
        <v>14119.699999999999</v>
      </c>
      <c r="U7" s="25">
        <v>2266.8876399999999</v>
      </c>
      <c r="V7" s="25">
        <v>33874.62359333333</v>
      </c>
      <c r="W7" s="25">
        <v>94579.799999999988</v>
      </c>
      <c r="X7" s="25">
        <v>216367.03333333333</v>
      </c>
      <c r="Y7" s="33">
        <v>180225.5221</v>
      </c>
      <c r="Z7" s="34">
        <v>5.986662592398126</v>
      </c>
      <c r="AA7" s="34">
        <v>2.6169298618805126</v>
      </c>
      <c r="AB7" s="25">
        <v>1382.2123333333334</v>
      </c>
      <c r="AC7" s="25">
        <v>594.1016666666668</v>
      </c>
      <c r="AD7" s="33">
        <v>1976.3140000000003</v>
      </c>
      <c r="AE7" s="25">
        <v>1470</v>
      </c>
      <c r="AF7" s="25">
        <v>12751.8</v>
      </c>
      <c r="AG7" s="25">
        <v>352</v>
      </c>
      <c r="AH7" s="25">
        <v>3586.7030400000003</v>
      </c>
      <c r="AI7" s="33">
        <v>18160.50304</v>
      </c>
      <c r="AJ7" s="25">
        <v>15.68</v>
      </c>
      <c r="AK7" s="25">
        <v>425.96256000000005</v>
      </c>
      <c r="AL7" s="33">
        <v>441.64256000000006</v>
      </c>
      <c r="AM7" s="25">
        <v>844.65000000000009</v>
      </c>
      <c r="AN7" s="25">
        <v>369.22</v>
      </c>
      <c r="AO7" s="33">
        <v>21792.329600000005</v>
      </c>
      <c r="AP7" s="33">
        <f t="shared" si="3"/>
        <v>1389.8169387755106</v>
      </c>
      <c r="AQ7" s="25">
        <v>7218.5296000000008</v>
      </c>
      <c r="AR7" s="25">
        <v>14573.8</v>
      </c>
      <c r="AS7" s="25">
        <v>1911.6425600000002</v>
      </c>
      <c r="AT7" s="25">
        <v>19880.687040000004</v>
      </c>
      <c r="AU7" s="25">
        <v>78027.599999999991</v>
      </c>
      <c r="AV7" s="25">
        <v>161437.16666666666</v>
      </c>
      <c r="AW7" s="25">
        <v>83409.566666666666</v>
      </c>
      <c r="AX7" s="27">
        <v>7.4079811396880961</v>
      </c>
      <c r="AY7" s="27">
        <v>3.580507519489792</v>
      </c>
      <c r="AZ7" s="25">
        <v>34945.869044444451</v>
      </c>
      <c r="BA7" s="25">
        <v>31498.649999999998</v>
      </c>
      <c r="BB7" s="25">
        <v>4432.9484266666677</v>
      </c>
      <c r="BC7" s="25">
        <v>62011.570617777783</v>
      </c>
      <c r="BD7" s="25">
        <v>66444.519044444445</v>
      </c>
      <c r="BE7" s="25">
        <v>172607.39999999997</v>
      </c>
      <c r="BF7" s="25">
        <v>377804.19999999995</v>
      </c>
      <c r="BG7" s="25">
        <v>311359.68095555552</v>
      </c>
      <c r="BH7" s="27">
        <v>2.5977673174900047</v>
      </c>
      <c r="BI7" s="27">
        <v>5.6860100040349213</v>
      </c>
      <c r="BJ7" s="5">
        <f t="shared" si="4"/>
        <v>312581.86206666665</v>
      </c>
      <c r="BK7" s="5"/>
      <c r="BL7" s="5"/>
    </row>
    <row r="8" spans="1:64" ht="14.45" x14ac:dyDescent="0.35">
      <c r="A8" s="24">
        <v>1</v>
      </c>
      <c r="B8" s="24">
        <v>4</v>
      </c>
      <c r="C8" s="25">
        <v>1060.6308333333334</v>
      </c>
      <c r="D8" s="25">
        <v>249.47900000000004</v>
      </c>
      <c r="E8" s="25">
        <v>422.32500000000005</v>
      </c>
      <c r="F8" s="25">
        <f t="shared" si="0"/>
        <v>1732.4348333333335</v>
      </c>
      <c r="G8" s="25">
        <v>294</v>
      </c>
      <c r="H8" s="25">
        <v>13474.3</v>
      </c>
      <c r="I8" s="25">
        <v>341.39999999999992</v>
      </c>
      <c r="J8" s="25">
        <v>15929.13048</v>
      </c>
      <c r="K8" s="32">
        <f t="shared" si="1"/>
        <v>30038.830479999997</v>
      </c>
      <c r="L8" s="25">
        <v>62.72</v>
      </c>
      <c r="M8" s="25">
        <v>1811.0633866666667</v>
      </c>
      <c r="N8" s="32">
        <f t="shared" si="2"/>
        <v>1873.7833866666667</v>
      </c>
      <c r="O8" s="25">
        <v>1126.2</v>
      </c>
      <c r="P8" s="25">
        <v>385</v>
      </c>
      <c r="Q8" s="25">
        <v>35140.468699999998</v>
      </c>
      <c r="R8" s="5">
        <v>2241.1013201530609</v>
      </c>
      <c r="S8" s="25">
        <v>21030.768700000004</v>
      </c>
      <c r="T8" s="25">
        <v>14109.699999999999</v>
      </c>
      <c r="U8" s="25">
        <v>2167.783386666667</v>
      </c>
      <c r="V8" s="25">
        <v>32972.685313333328</v>
      </c>
      <c r="W8" s="25">
        <v>97343.4</v>
      </c>
      <c r="X8" s="25">
        <v>222206.65333333332</v>
      </c>
      <c r="Y8" s="33">
        <v>187066.18463333332</v>
      </c>
      <c r="Z8" s="34">
        <v>6.3233833114278664</v>
      </c>
      <c r="AA8" s="34">
        <v>2.7701224144457699</v>
      </c>
      <c r="AB8" s="25">
        <v>0</v>
      </c>
      <c r="AC8" s="25">
        <v>892.36505555555561</v>
      </c>
      <c r="AD8" s="33">
        <v>892</v>
      </c>
      <c r="AE8" s="25">
        <v>1470</v>
      </c>
      <c r="AF8" s="25">
        <v>12751.8</v>
      </c>
      <c r="AG8" s="25">
        <v>462</v>
      </c>
      <c r="AH8" s="25">
        <v>3002.7009599999997</v>
      </c>
      <c r="AI8" s="33">
        <v>17686.500959999998</v>
      </c>
      <c r="AJ8" s="25">
        <v>0</v>
      </c>
      <c r="AK8" s="25">
        <v>366.95344</v>
      </c>
      <c r="AL8" s="33">
        <v>366.95344</v>
      </c>
      <c r="AM8" s="25">
        <v>844.65000000000009</v>
      </c>
      <c r="AN8" s="25">
        <v>369.22</v>
      </c>
      <c r="AO8" s="33">
        <v>20159.689455555555</v>
      </c>
      <c r="AP8" s="33">
        <f t="shared" si="3"/>
        <v>1285.6944805839003</v>
      </c>
      <c r="AQ8" s="25">
        <v>5475.8894555555562</v>
      </c>
      <c r="AR8" s="25">
        <v>14683.8</v>
      </c>
      <c r="AS8" s="25">
        <v>1836.95344</v>
      </c>
      <c r="AT8" s="25">
        <v>18322.736015555558</v>
      </c>
      <c r="AU8" s="25">
        <v>84363.3</v>
      </c>
      <c r="AV8" s="25">
        <v>172278</v>
      </c>
      <c r="AW8" s="25">
        <v>87914.7</v>
      </c>
      <c r="AX8" s="27">
        <v>8.5456673516627042</v>
      </c>
      <c r="AY8" s="27">
        <v>4.1847519618786277</v>
      </c>
      <c r="AZ8" s="25">
        <v>33203.228900000009</v>
      </c>
      <c r="BA8" s="25">
        <v>31608.649999999998</v>
      </c>
      <c r="BB8" s="25">
        <v>4358.2593066666677</v>
      </c>
      <c r="BC8" s="25">
        <v>60453.619593333337</v>
      </c>
      <c r="BD8" s="25">
        <v>64811.878899999996</v>
      </c>
      <c r="BE8" s="25">
        <v>181706.7</v>
      </c>
      <c r="BF8" s="25">
        <v>394484.65333333332</v>
      </c>
      <c r="BG8" s="25">
        <v>329672.77443333331</v>
      </c>
      <c r="BH8" s="27">
        <v>2.8036017946703908</v>
      </c>
      <c r="BI8" s="27">
        <v>6.086610356443984</v>
      </c>
      <c r="BJ8" s="5">
        <f t="shared" si="4"/>
        <v>326588.29172222217</v>
      </c>
      <c r="BK8" s="5"/>
      <c r="BL8" s="5"/>
    </row>
    <row r="9" spans="1:64" ht="14.45" x14ac:dyDescent="0.35">
      <c r="A9" s="24">
        <v>1</v>
      </c>
      <c r="B9" s="24">
        <v>5</v>
      </c>
      <c r="C9" s="25">
        <v>0</v>
      </c>
      <c r="D9" s="25">
        <v>0</v>
      </c>
      <c r="E9" s="25">
        <v>422.32500000000005</v>
      </c>
      <c r="F9" s="25">
        <f t="shared" si="0"/>
        <v>422.32500000000005</v>
      </c>
      <c r="G9" s="25">
        <v>294</v>
      </c>
      <c r="H9" s="25">
        <v>13626.421999999997</v>
      </c>
      <c r="I9" s="25">
        <v>541.4</v>
      </c>
      <c r="J9" s="25">
        <v>14898.082560000001</v>
      </c>
      <c r="K9" s="32">
        <f t="shared" si="1"/>
        <v>29359.904559999995</v>
      </c>
      <c r="L9" s="25">
        <v>62.72</v>
      </c>
      <c r="M9" s="25">
        <v>1696.5025066666669</v>
      </c>
      <c r="N9" s="32">
        <f t="shared" si="2"/>
        <v>1759.222506666667</v>
      </c>
      <c r="O9" s="25">
        <v>1126.2</v>
      </c>
      <c r="P9" s="25">
        <v>385</v>
      </c>
      <c r="Q9" s="25">
        <v>33036.872066666663</v>
      </c>
      <c r="R9" s="5">
        <v>2106.9433715986393</v>
      </c>
      <c r="S9" s="25">
        <v>18575.05006666667</v>
      </c>
      <c r="T9" s="25">
        <v>14461.821999999996</v>
      </c>
      <c r="U9" s="25">
        <v>2053.222506666667</v>
      </c>
      <c r="V9" s="25">
        <v>30983.649560000002</v>
      </c>
      <c r="W9" s="25">
        <v>98651.7</v>
      </c>
      <c r="X9" s="25">
        <v>222970.38333333336</v>
      </c>
      <c r="Y9" s="33">
        <v>189933.5112666667</v>
      </c>
      <c r="Z9" s="34">
        <v>6.7491372331917772</v>
      </c>
      <c r="AA9" s="34">
        <v>2.9861089694244072</v>
      </c>
      <c r="AB9" s="25">
        <v>0</v>
      </c>
      <c r="AC9" s="25">
        <v>892.36505555555561</v>
      </c>
      <c r="AD9" s="33">
        <v>892.36505555555561</v>
      </c>
      <c r="AE9" s="25">
        <v>1470</v>
      </c>
      <c r="AF9" s="25">
        <v>11398.134666666667</v>
      </c>
      <c r="AG9" s="25">
        <v>462</v>
      </c>
      <c r="AH9" s="25">
        <v>3002.7009599999997</v>
      </c>
      <c r="AI9" s="33">
        <v>16332.835626666667</v>
      </c>
      <c r="AJ9" s="25">
        <v>0</v>
      </c>
      <c r="AK9" s="25">
        <v>366.95344</v>
      </c>
      <c r="AL9" s="33">
        <v>366.95344</v>
      </c>
      <c r="AM9" s="25">
        <v>844.65000000000009</v>
      </c>
      <c r="AN9" s="25">
        <v>369.22</v>
      </c>
      <c r="AO9" s="33">
        <v>18806.024122222225</v>
      </c>
      <c r="AP9" s="33">
        <f t="shared" si="3"/>
        <v>1199.3637833049888</v>
      </c>
      <c r="AQ9" s="25">
        <v>5475.8894555555562</v>
      </c>
      <c r="AR9" s="25">
        <v>13330.134666666667</v>
      </c>
      <c r="AS9" s="25">
        <v>1836.95344</v>
      </c>
      <c r="AT9" s="25">
        <v>16969.070682222224</v>
      </c>
      <c r="AU9" s="25">
        <v>86568.3</v>
      </c>
      <c r="AV9" s="25">
        <v>176520.5</v>
      </c>
      <c r="AW9" s="25">
        <v>89952.2</v>
      </c>
      <c r="AX9" s="27">
        <v>9.386380600852986</v>
      </c>
      <c r="AY9" s="27">
        <v>4.6032217887940581</v>
      </c>
      <c r="AZ9" s="25">
        <v>33203.228900000009</v>
      </c>
      <c r="BA9" s="25">
        <v>30254.984666666664</v>
      </c>
      <c r="BB9" s="25">
        <v>4358.2593066666677</v>
      </c>
      <c r="BC9" s="25">
        <v>59099.954259999999</v>
      </c>
      <c r="BD9" s="25">
        <v>63458.213566666665</v>
      </c>
      <c r="BE9" s="25">
        <v>185220</v>
      </c>
      <c r="BF9" s="25">
        <v>399490.88333333336</v>
      </c>
      <c r="BG9" s="25">
        <v>336032.66976666672</v>
      </c>
      <c r="BH9" s="27">
        <v>2.9187711028993162</v>
      </c>
      <c r="BI9" s="27">
        <v>6.2953376856983878</v>
      </c>
      <c r="BJ9" s="5">
        <f t="shared" si="4"/>
        <v>332787.25994444446</v>
      </c>
      <c r="BK9" s="5"/>
      <c r="BL9" s="5"/>
    </row>
    <row r="10" spans="1:64" ht="14.45" x14ac:dyDescent="0.35">
      <c r="A10" s="24">
        <v>1</v>
      </c>
      <c r="B10" s="24">
        <v>6</v>
      </c>
      <c r="C10" s="25">
        <v>0</v>
      </c>
      <c r="D10" s="25">
        <v>0</v>
      </c>
      <c r="E10" s="25">
        <v>422.32500000000005</v>
      </c>
      <c r="F10" s="25">
        <f t="shared" si="0"/>
        <v>422.32500000000005</v>
      </c>
      <c r="G10" s="25">
        <v>294</v>
      </c>
      <c r="H10" s="25">
        <v>12599.088666666665</v>
      </c>
      <c r="I10" s="25">
        <v>541.4</v>
      </c>
      <c r="J10" s="25">
        <v>14898.082560000001</v>
      </c>
      <c r="K10" s="32">
        <f t="shared" si="1"/>
        <v>28332.571226666667</v>
      </c>
      <c r="L10" s="25">
        <v>62.72</v>
      </c>
      <c r="M10" s="25">
        <v>1696.5025066666669</v>
      </c>
      <c r="N10" s="32">
        <f t="shared" si="2"/>
        <v>1759.222506666667</v>
      </c>
      <c r="O10" s="25">
        <v>1126.2</v>
      </c>
      <c r="P10" s="25">
        <v>385</v>
      </c>
      <c r="Q10" s="25">
        <v>32009.538733333338</v>
      </c>
      <c r="R10" s="5">
        <v>2041.4246641156467</v>
      </c>
      <c r="S10" s="25">
        <v>18575.05006666667</v>
      </c>
      <c r="T10" s="25">
        <v>13434.488666666664</v>
      </c>
      <c r="U10" s="25">
        <v>2053.222506666667</v>
      </c>
      <c r="V10" s="25">
        <v>29956.316226666666</v>
      </c>
      <c r="W10" s="25">
        <v>101297.7</v>
      </c>
      <c r="X10" s="25">
        <v>229377.59999999998</v>
      </c>
      <c r="Y10" s="33">
        <v>197368.06126666663</v>
      </c>
      <c r="Z10" s="34">
        <v>7.1659139455557401</v>
      </c>
      <c r="AA10" s="34">
        <v>3.1646098009688903</v>
      </c>
      <c r="AB10" s="25">
        <v>0</v>
      </c>
      <c r="AC10" s="25">
        <v>892.36505555555561</v>
      </c>
      <c r="AD10" s="33">
        <v>892.36505555555561</v>
      </c>
      <c r="AE10" s="25">
        <v>1470</v>
      </c>
      <c r="AF10" s="25">
        <v>10612.7444</v>
      </c>
      <c r="AG10" s="25">
        <v>462</v>
      </c>
      <c r="AH10" s="25">
        <v>3002.7009599999997</v>
      </c>
      <c r="AI10" s="33">
        <v>15547.44536</v>
      </c>
      <c r="AJ10" s="25">
        <v>0</v>
      </c>
      <c r="AK10" s="25">
        <v>366.95344</v>
      </c>
      <c r="AL10" s="33">
        <v>366.95344</v>
      </c>
      <c r="AM10" s="25">
        <v>844.65000000000009</v>
      </c>
      <c r="AN10" s="25">
        <v>369.22</v>
      </c>
      <c r="AO10" s="33">
        <v>18020.633855555559</v>
      </c>
      <c r="AP10" s="33">
        <f t="shared" si="3"/>
        <v>1149.2751183390026</v>
      </c>
      <c r="AQ10" s="25">
        <v>5475.8894555555562</v>
      </c>
      <c r="AR10" s="25">
        <v>12544.7444</v>
      </c>
      <c r="AS10" s="25">
        <v>1836.95344</v>
      </c>
      <c r="AT10" s="25">
        <v>16183.680415555555</v>
      </c>
      <c r="AU10" s="25">
        <v>86862.3</v>
      </c>
      <c r="AV10" s="25">
        <v>179133</v>
      </c>
      <c r="AW10" s="25">
        <v>92270.7</v>
      </c>
      <c r="AX10" s="27">
        <v>9.9404383572654051</v>
      </c>
      <c r="AY10" s="27">
        <v>4.8201578643817431</v>
      </c>
      <c r="AZ10" s="25">
        <v>33203.228900000009</v>
      </c>
      <c r="BA10" s="25">
        <v>29469.594399999998</v>
      </c>
      <c r="BB10" s="25">
        <v>4358.2593066666677</v>
      </c>
      <c r="BC10" s="25">
        <v>58314.56399333333</v>
      </c>
      <c r="BD10" s="25">
        <v>62672.823300000004</v>
      </c>
      <c r="BE10" s="25">
        <v>188160</v>
      </c>
      <c r="BF10" s="25">
        <v>408510.6</v>
      </c>
      <c r="BG10" s="25">
        <v>345837.77669999999</v>
      </c>
      <c r="BH10" s="27">
        <v>3.0022582371839626</v>
      </c>
      <c r="BI10" s="27">
        <v>6.5181458005259509</v>
      </c>
      <c r="BJ10" s="5">
        <f t="shared" si="4"/>
        <v>341299.77830000001</v>
      </c>
      <c r="BK10" s="5"/>
      <c r="BL10" s="5"/>
    </row>
    <row r="11" spans="1:64" ht="14.45" x14ac:dyDescent="0.35">
      <c r="A11" s="24">
        <v>2</v>
      </c>
      <c r="B11" s="24">
        <v>1</v>
      </c>
      <c r="C11" s="25">
        <v>1978.3945555555556</v>
      </c>
      <c r="D11" s="25">
        <v>1382.2123333333336</v>
      </c>
      <c r="E11" s="25">
        <f>188.16+789.58</f>
        <v>977.74</v>
      </c>
      <c r="F11" s="25">
        <f>SUM(C11:E11)</f>
        <v>4338.3468888888892</v>
      </c>
      <c r="G11" s="25">
        <v>183.75</v>
      </c>
      <c r="H11" s="25">
        <v>14747.899999999998</v>
      </c>
      <c r="I11" s="25">
        <v>1993.2</v>
      </c>
      <c r="J11" s="25">
        <v>22303.481600000003</v>
      </c>
      <c r="K11" s="32">
        <f>SUM(G11:J11)</f>
        <v>39228.331600000005</v>
      </c>
      <c r="L11" s="25">
        <v>47.04</v>
      </c>
      <c r="M11" s="25">
        <v>2597.2557333333334</v>
      </c>
      <c r="N11" s="32">
        <f>SUM(L11:M11)</f>
        <v>2644.2957333333334</v>
      </c>
      <c r="O11" s="25">
        <v>1126.2</v>
      </c>
      <c r="P11" s="25">
        <v>385</v>
      </c>
      <c r="Q11" s="25">
        <v>47706.394222222225</v>
      </c>
      <c r="R11" s="5">
        <v>3042.4996315192748</v>
      </c>
      <c r="S11" s="25">
        <v>30781.54422222223</v>
      </c>
      <c r="T11" s="25">
        <v>16924.849999999999</v>
      </c>
      <c r="U11" s="25">
        <v>2828.0457333333334</v>
      </c>
      <c r="V11" s="25">
        <v>44878.348488888892</v>
      </c>
      <c r="W11" s="25">
        <v>96211.5</v>
      </c>
      <c r="X11" s="25">
        <v>207819.59999999998</v>
      </c>
      <c r="Y11" s="33">
        <v>160113.20577777777</v>
      </c>
      <c r="Z11" s="34">
        <v>4.3562210766118863</v>
      </c>
      <c r="AA11" s="34">
        <v>2.0167422327463078</v>
      </c>
      <c r="AB11" s="25">
        <v>2228.2002222222222</v>
      </c>
      <c r="AC11" s="25">
        <v>849.90788888888881</v>
      </c>
      <c r="AD11" s="33">
        <v>3078.1081111111112</v>
      </c>
      <c r="AE11" s="25">
        <v>1470</v>
      </c>
      <c r="AF11" s="25">
        <v>14327.899999999998</v>
      </c>
      <c r="AG11" s="25">
        <v>364</v>
      </c>
      <c r="AH11" s="25">
        <v>4263.732</v>
      </c>
      <c r="AI11" s="33">
        <v>20425.631999999998</v>
      </c>
      <c r="AJ11" s="25">
        <v>15.68</v>
      </c>
      <c r="AK11" s="25">
        <v>509.02800000000002</v>
      </c>
      <c r="AL11" s="33">
        <v>524.70799999999997</v>
      </c>
      <c r="AM11" s="25">
        <v>844.65000000000009</v>
      </c>
      <c r="AN11" s="25">
        <v>369.22</v>
      </c>
      <c r="AO11" s="33">
        <v>25242.318111111112</v>
      </c>
      <c r="AP11" s="33">
        <f t="shared" si="3"/>
        <v>1609.8417162698413</v>
      </c>
      <c r="AQ11" s="25">
        <v>9080.4181111111102</v>
      </c>
      <c r="AR11" s="25">
        <v>16161.899999999998</v>
      </c>
      <c r="AS11" s="25">
        <v>1994.7080000000001</v>
      </c>
      <c r="AT11" s="25">
        <v>23247.610111111113</v>
      </c>
      <c r="AU11" s="25">
        <v>69766.2</v>
      </c>
      <c r="AV11" s="25">
        <v>148749.08333333334</v>
      </c>
      <c r="AW11" s="25">
        <v>78982.883333333346</v>
      </c>
      <c r="AX11" s="27">
        <v>5.8928456046933846</v>
      </c>
      <c r="AY11" s="27">
        <v>2.7638586794170243</v>
      </c>
      <c r="AZ11" s="25">
        <v>36807.757555555567</v>
      </c>
      <c r="BA11" s="25">
        <v>33086.75</v>
      </c>
      <c r="BB11" s="25">
        <v>4516.013866666668</v>
      </c>
      <c r="BC11" s="25">
        <v>65378.493688888891</v>
      </c>
      <c r="BD11" s="25">
        <v>69894.507555555552</v>
      </c>
      <c r="BE11" s="25">
        <v>165977.70000000001</v>
      </c>
      <c r="BF11" s="25">
        <v>356568.68333333335</v>
      </c>
      <c r="BG11" s="25">
        <v>286674.1757777778</v>
      </c>
      <c r="BH11" s="27">
        <v>2.3746887388550935</v>
      </c>
      <c r="BI11" s="27">
        <v>5.101526511935365</v>
      </c>
      <c r="BJ11" s="5"/>
      <c r="BK11" s="5"/>
      <c r="BL11" s="5"/>
    </row>
    <row r="12" spans="1:64" ht="14.45" x14ac:dyDescent="0.35">
      <c r="A12" s="24">
        <v>2</v>
      </c>
      <c r="B12" s="24">
        <v>2</v>
      </c>
      <c r="C12" s="25">
        <v>1978.3945555555556</v>
      </c>
      <c r="D12" s="25">
        <v>1382.2123333333336</v>
      </c>
      <c r="E12" s="25">
        <f>188.16+789.58</f>
        <v>977.74</v>
      </c>
      <c r="F12" s="25">
        <f t="shared" si="0"/>
        <v>4338.3468888888892</v>
      </c>
      <c r="G12" s="25">
        <v>183.75</v>
      </c>
      <c r="H12" s="25">
        <v>14747.899999999998</v>
      </c>
      <c r="I12" s="25">
        <v>1993.2</v>
      </c>
      <c r="J12" s="25">
        <v>22303.481600000003</v>
      </c>
      <c r="K12" s="32">
        <f t="shared" si="1"/>
        <v>39228.331600000005</v>
      </c>
      <c r="L12" s="25">
        <v>47.04</v>
      </c>
      <c r="M12" s="25">
        <v>2597.2557333333334</v>
      </c>
      <c r="N12" s="32">
        <f t="shared" si="2"/>
        <v>2644.2957333333334</v>
      </c>
      <c r="O12" s="25">
        <v>1126.2</v>
      </c>
      <c r="P12" s="25">
        <v>385</v>
      </c>
      <c r="Q12" s="25">
        <v>47706.394222222225</v>
      </c>
      <c r="R12" s="5">
        <v>3042.4996315192748</v>
      </c>
      <c r="S12" s="25">
        <v>30781.54422222223</v>
      </c>
      <c r="T12" s="25">
        <v>16924.849999999999</v>
      </c>
      <c r="U12" s="25">
        <v>2828.0457333333334</v>
      </c>
      <c r="V12" s="25">
        <v>44878.348488888892</v>
      </c>
      <c r="W12" s="25">
        <v>98857.5</v>
      </c>
      <c r="X12" s="25">
        <v>211228.91666666663</v>
      </c>
      <c r="Y12" s="33">
        <v>163522.52244444442</v>
      </c>
      <c r="Z12" s="34">
        <v>4.4276856406865814</v>
      </c>
      <c r="AA12" s="34">
        <v>2.0722064958317676</v>
      </c>
      <c r="AB12" s="25">
        <v>2228.2002222222222</v>
      </c>
      <c r="AC12" s="25">
        <v>849.90788888888881</v>
      </c>
      <c r="AD12" s="33">
        <v>3078.1081111111112</v>
      </c>
      <c r="AE12" s="25">
        <v>1470</v>
      </c>
      <c r="AF12" s="25">
        <v>14327.899999999998</v>
      </c>
      <c r="AG12" s="25">
        <v>364</v>
      </c>
      <c r="AH12" s="25">
        <v>4263.732</v>
      </c>
      <c r="AI12" s="33">
        <v>20425.631999999998</v>
      </c>
      <c r="AJ12" s="25">
        <v>15.68</v>
      </c>
      <c r="AK12" s="25">
        <v>509.02800000000002</v>
      </c>
      <c r="AL12" s="33">
        <v>524.70799999999997</v>
      </c>
      <c r="AM12" s="25">
        <v>844.65000000000009</v>
      </c>
      <c r="AN12" s="25">
        <v>369.22</v>
      </c>
      <c r="AO12" s="33">
        <v>25242.318111111112</v>
      </c>
      <c r="AP12" s="33">
        <f t="shared" si="3"/>
        <v>1609.8417162698413</v>
      </c>
      <c r="AQ12" s="25">
        <v>9080.4181111111102</v>
      </c>
      <c r="AR12" s="25">
        <v>16161.899999999998</v>
      </c>
      <c r="AS12" s="25">
        <v>1994.7080000000001</v>
      </c>
      <c r="AT12" s="25">
        <v>23247.610111111113</v>
      </c>
      <c r="AU12" s="25">
        <v>74308.5</v>
      </c>
      <c r="AV12" s="25">
        <v>154712.33333333331</v>
      </c>
      <c r="AW12" s="25">
        <v>80403.833333333314</v>
      </c>
      <c r="AX12" s="27">
        <v>6.129085793639228</v>
      </c>
      <c r="AY12" s="27">
        <v>2.9438064948278675</v>
      </c>
      <c r="AZ12" s="25">
        <v>36807.757555555567</v>
      </c>
      <c r="BA12" s="25">
        <v>33086.75</v>
      </c>
      <c r="BB12" s="25">
        <v>4516.013866666668</v>
      </c>
      <c r="BC12" s="25">
        <v>65378.493688888891</v>
      </c>
      <c r="BD12" s="25">
        <v>69894.507555555552</v>
      </c>
      <c r="BE12" s="25">
        <v>173166</v>
      </c>
      <c r="BF12" s="25">
        <v>365941.24999999994</v>
      </c>
      <c r="BG12" s="25">
        <v>296046.74244444439</v>
      </c>
      <c r="BH12" s="27">
        <v>2.4775337298479316</v>
      </c>
      <c r="BI12" s="27">
        <v>5.2356224086582488</v>
      </c>
      <c r="BJ12" s="5"/>
    </row>
    <row r="13" spans="1:64" ht="14.45" x14ac:dyDescent="0.35">
      <c r="A13" s="24">
        <v>2</v>
      </c>
      <c r="B13" s="24">
        <v>3</v>
      </c>
      <c r="C13" s="25">
        <v>1061.2841666666666</v>
      </c>
      <c r="D13" s="25">
        <v>249.80566666666672</v>
      </c>
      <c r="E13" s="25">
        <v>422.32500000000005</v>
      </c>
      <c r="F13" s="25">
        <f t="shared" si="0"/>
        <v>1733.4148333333333</v>
      </c>
      <c r="G13" s="25">
        <v>294</v>
      </c>
      <c r="H13" s="25">
        <v>13474.3</v>
      </c>
      <c r="I13" s="25">
        <v>351.39999999999992</v>
      </c>
      <c r="J13" s="25">
        <v>19333.225200000001</v>
      </c>
      <c r="K13" s="32">
        <f t="shared" si="1"/>
        <v>33452.925199999998</v>
      </c>
      <c r="L13" s="25">
        <v>62.72</v>
      </c>
      <c r="M13" s="25">
        <v>2189.2961333333337</v>
      </c>
      <c r="N13" s="32">
        <f t="shared" si="2"/>
        <v>2252.0161333333335</v>
      </c>
      <c r="O13" s="25">
        <v>1126.2</v>
      </c>
      <c r="P13" s="25">
        <v>385</v>
      </c>
      <c r="Q13" s="25">
        <v>38933.776166666663</v>
      </c>
      <c r="R13" s="5">
        <v>2483.0214392006801</v>
      </c>
      <c r="S13" s="25">
        <v>24814.076166666669</v>
      </c>
      <c r="T13" s="25">
        <v>14119.699999999999</v>
      </c>
      <c r="U13" s="25">
        <v>2546.0161333333335</v>
      </c>
      <c r="V13" s="25">
        <v>36387.760033333332</v>
      </c>
      <c r="W13" s="25">
        <v>96358.5</v>
      </c>
      <c r="X13" s="25">
        <v>204026.98333333334</v>
      </c>
      <c r="Y13" s="33">
        <v>165093.20716666666</v>
      </c>
      <c r="Z13" s="34">
        <v>5.2403594878631878</v>
      </c>
      <c r="AA13" s="34">
        <v>2.474933322355148</v>
      </c>
      <c r="AB13" s="25">
        <v>1382.2123333333334</v>
      </c>
      <c r="AC13" s="25">
        <v>594.1016666666668</v>
      </c>
      <c r="AD13" s="33">
        <v>1976.3140000000003</v>
      </c>
      <c r="AE13" s="25">
        <v>1470</v>
      </c>
      <c r="AF13" s="25">
        <v>12751.8</v>
      </c>
      <c r="AG13" s="25">
        <v>352</v>
      </c>
      <c r="AH13" s="25">
        <v>4263.732</v>
      </c>
      <c r="AI13" s="33">
        <v>18837.531999999999</v>
      </c>
      <c r="AJ13" s="25">
        <v>15.68</v>
      </c>
      <c r="AK13" s="25">
        <v>501.18800000000005</v>
      </c>
      <c r="AL13" s="33">
        <v>516.86800000000005</v>
      </c>
      <c r="AM13" s="25">
        <v>844.65000000000009</v>
      </c>
      <c r="AN13" s="25">
        <v>369.22</v>
      </c>
      <c r="AO13" s="33">
        <v>22544.583999999999</v>
      </c>
      <c r="AP13" s="33">
        <f t="shared" si="3"/>
        <v>1437.7923469387754</v>
      </c>
      <c r="AQ13" s="25">
        <v>7970.7840000000006</v>
      </c>
      <c r="AR13" s="25">
        <v>14573.8</v>
      </c>
      <c r="AS13" s="25">
        <v>1986.8680000000002</v>
      </c>
      <c r="AT13" s="25">
        <v>20557.716</v>
      </c>
      <c r="AU13" s="25">
        <v>79086</v>
      </c>
      <c r="AV13" s="25">
        <v>161412.16666666666</v>
      </c>
      <c r="AW13" s="25">
        <v>82326.166666666657</v>
      </c>
      <c r="AX13" s="27">
        <v>7.159687074583708</v>
      </c>
      <c r="AY13" s="27">
        <v>3.5079822275718198</v>
      </c>
      <c r="AZ13" s="25">
        <v>35698.123444444456</v>
      </c>
      <c r="BA13" s="25">
        <v>31498.649999999998</v>
      </c>
      <c r="BB13" s="25">
        <v>4508.1738666666679</v>
      </c>
      <c r="BC13" s="25">
        <v>62688.599577777779</v>
      </c>
      <c r="BD13" s="25">
        <v>67196.773444444436</v>
      </c>
      <c r="BE13" s="25">
        <v>175444.5</v>
      </c>
      <c r="BF13" s="25">
        <v>365439.15</v>
      </c>
      <c r="BG13" s="25">
        <v>298242.37655555562</v>
      </c>
      <c r="BH13" s="27">
        <v>2.6109066106432981</v>
      </c>
      <c r="BI13" s="27">
        <v>5.4383437071146021</v>
      </c>
    </row>
    <row r="14" spans="1:64" ht="14.45" x14ac:dyDescent="0.35">
      <c r="A14" s="24">
        <v>2</v>
      </c>
      <c r="B14" s="24">
        <v>4</v>
      </c>
      <c r="C14" s="25">
        <v>1061.2841666666666</v>
      </c>
      <c r="D14" s="25">
        <v>249.80566666666672</v>
      </c>
      <c r="E14" s="25">
        <v>422.32500000000005</v>
      </c>
      <c r="F14" s="25">
        <f t="shared" si="0"/>
        <v>1733.4148333333333</v>
      </c>
      <c r="G14" s="25">
        <v>294</v>
      </c>
      <c r="H14" s="25">
        <v>13474.3</v>
      </c>
      <c r="I14" s="25">
        <v>341.39999999999992</v>
      </c>
      <c r="J14" s="25">
        <v>18617.004360000003</v>
      </c>
      <c r="K14" s="32">
        <f t="shared" si="1"/>
        <v>32726.704360000003</v>
      </c>
      <c r="L14" s="25">
        <v>62.72</v>
      </c>
      <c r="M14" s="25">
        <v>2109.7160400000002</v>
      </c>
      <c r="N14" s="32">
        <f t="shared" si="2"/>
        <v>2172.43604</v>
      </c>
      <c r="O14" s="25">
        <v>1126.2</v>
      </c>
      <c r="P14" s="25">
        <v>385</v>
      </c>
      <c r="Q14" s="25">
        <v>38127.975233333338</v>
      </c>
      <c r="R14" s="5">
        <v>2431.6310735544221</v>
      </c>
      <c r="S14" s="25">
        <v>24018.275233333337</v>
      </c>
      <c r="T14" s="25">
        <v>14109.699999999999</v>
      </c>
      <c r="U14" s="25">
        <v>2466.4360400000005</v>
      </c>
      <c r="V14" s="25">
        <v>35661.53919333333</v>
      </c>
      <c r="W14" s="25">
        <v>92271.9</v>
      </c>
      <c r="X14" s="25">
        <v>210437.99666666667</v>
      </c>
      <c r="Y14" s="33">
        <v>172310.02143333334</v>
      </c>
      <c r="Z14" s="34">
        <v>5.5192544418852725</v>
      </c>
      <c r="AA14" s="34">
        <v>2.4200576987191131</v>
      </c>
      <c r="AB14" s="25">
        <v>0</v>
      </c>
      <c r="AC14" s="25">
        <v>892.36505555555561</v>
      </c>
      <c r="AD14" s="33">
        <v>892</v>
      </c>
      <c r="AE14" s="25">
        <v>1470</v>
      </c>
      <c r="AF14" s="25">
        <v>12751.8</v>
      </c>
      <c r="AG14" s="25">
        <v>462</v>
      </c>
      <c r="AH14" s="25">
        <v>3429.0741600000001</v>
      </c>
      <c r="AI14" s="33">
        <v>18112.874159999999</v>
      </c>
      <c r="AJ14" s="25">
        <v>0</v>
      </c>
      <c r="AK14" s="25">
        <v>414.32823999999994</v>
      </c>
      <c r="AL14" s="33">
        <v>414.32823999999994</v>
      </c>
      <c r="AM14" s="25">
        <v>844.65000000000009</v>
      </c>
      <c r="AN14" s="25">
        <v>369.22</v>
      </c>
      <c r="AO14" s="33">
        <v>20633.437455555555</v>
      </c>
      <c r="AP14" s="33">
        <f t="shared" si="3"/>
        <v>1315.9080009920635</v>
      </c>
      <c r="AQ14" s="25">
        <v>5949.6374555555558</v>
      </c>
      <c r="AR14" s="25">
        <v>14683.8</v>
      </c>
      <c r="AS14" s="25">
        <v>1884.3282399999998</v>
      </c>
      <c r="AT14" s="25">
        <v>18749.10921555556</v>
      </c>
      <c r="AU14" s="25">
        <v>81467.399999999994</v>
      </c>
      <c r="AV14" s="25">
        <v>170043.5</v>
      </c>
      <c r="AW14" s="25">
        <v>88576.1</v>
      </c>
      <c r="AX14" s="27">
        <v>8.2411619666511626</v>
      </c>
      <c r="AY14" s="27">
        <v>3.9483193324176273</v>
      </c>
      <c r="AZ14" s="25">
        <v>33676.976900000009</v>
      </c>
      <c r="BA14" s="25">
        <v>31608.649999999998</v>
      </c>
      <c r="BB14" s="25">
        <v>4405.6341066666673</v>
      </c>
      <c r="BC14" s="25">
        <v>60879.992793333338</v>
      </c>
      <c r="BD14" s="25">
        <v>65285.626899999996</v>
      </c>
      <c r="BE14" s="25">
        <v>173739.3</v>
      </c>
      <c r="BF14" s="25">
        <v>380481.4966666667</v>
      </c>
      <c r="BG14" s="25">
        <v>315195.86976666673</v>
      </c>
      <c r="BH14" s="27">
        <v>2.6612182229041288</v>
      </c>
      <c r="BI14" s="27">
        <v>5.8279519510391147</v>
      </c>
    </row>
    <row r="15" spans="1:64" ht="14.45" x14ac:dyDescent="0.35">
      <c r="A15" s="24">
        <v>2</v>
      </c>
      <c r="B15" s="24">
        <v>5</v>
      </c>
      <c r="C15" s="25">
        <v>0</v>
      </c>
      <c r="D15" s="25">
        <v>0</v>
      </c>
      <c r="E15" s="25">
        <v>422.32500000000005</v>
      </c>
      <c r="F15" s="25">
        <f t="shared" si="0"/>
        <v>422.32500000000005</v>
      </c>
      <c r="G15" s="25">
        <v>294</v>
      </c>
      <c r="H15" s="25">
        <v>13736.655333333334</v>
      </c>
      <c r="I15" s="25">
        <v>541.4</v>
      </c>
      <c r="J15" s="25">
        <v>17595.431400000001</v>
      </c>
      <c r="K15" s="32">
        <f t="shared" si="1"/>
        <v>32167.486733333335</v>
      </c>
      <c r="L15" s="25">
        <v>62.72</v>
      </c>
      <c r="M15" s="25">
        <v>1996.2079333333336</v>
      </c>
      <c r="N15" s="32">
        <f t="shared" si="2"/>
        <v>2058.9279333333334</v>
      </c>
      <c r="O15" s="25">
        <v>1126.2</v>
      </c>
      <c r="P15" s="25">
        <v>385</v>
      </c>
      <c r="Q15" s="25">
        <v>36144.159666666666</v>
      </c>
      <c r="R15" s="5">
        <v>2305.1122236394558</v>
      </c>
      <c r="S15" s="25">
        <v>21572.10433333334</v>
      </c>
      <c r="T15" s="25">
        <v>14572.055333333334</v>
      </c>
      <c r="U15" s="25">
        <v>2352.9279333333334</v>
      </c>
      <c r="V15" s="25">
        <v>33791.231733333334</v>
      </c>
      <c r="W15" s="25">
        <v>93756.599999999991</v>
      </c>
      <c r="X15" s="25">
        <v>207737.87</v>
      </c>
      <c r="Y15" s="33">
        <v>171593.71033333332</v>
      </c>
      <c r="Z15" s="34">
        <v>5.7474809738510162</v>
      </c>
      <c r="AA15" s="34">
        <v>2.5939626447164414</v>
      </c>
      <c r="AB15" s="25">
        <v>0</v>
      </c>
      <c r="AC15" s="25">
        <v>892.36505555555561</v>
      </c>
      <c r="AD15" s="33">
        <v>892.36505555555561</v>
      </c>
      <c r="AE15" s="25">
        <v>1470</v>
      </c>
      <c r="AF15" s="25">
        <v>11896.389333333333</v>
      </c>
      <c r="AG15" s="25">
        <v>462</v>
      </c>
      <c r="AH15" s="25">
        <v>3429.0741600000001</v>
      </c>
      <c r="AI15" s="33">
        <v>17257.463493333333</v>
      </c>
      <c r="AJ15" s="25">
        <v>0</v>
      </c>
      <c r="AK15" s="25">
        <v>414.32823999999994</v>
      </c>
      <c r="AL15" s="33">
        <v>414.32823999999994</v>
      </c>
      <c r="AM15" s="25">
        <v>844.65000000000009</v>
      </c>
      <c r="AN15" s="25">
        <v>369.22</v>
      </c>
      <c r="AO15" s="33">
        <v>19778.026788888888</v>
      </c>
      <c r="AP15" s="33">
        <f t="shared" si="3"/>
        <v>1261.3537492913831</v>
      </c>
      <c r="AQ15" s="25">
        <v>5949.6374555555558</v>
      </c>
      <c r="AR15" s="25">
        <v>13828.389333333333</v>
      </c>
      <c r="AS15" s="25">
        <v>1884.3282399999998</v>
      </c>
      <c r="AT15" s="25">
        <v>17893.698548888889</v>
      </c>
      <c r="AU15" s="25">
        <v>82187.7</v>
      </c>
      <c r="AV15" s="25">
        <v>171885.16666666666</v>
      </c>
      <c r="AW15" s="25">
        <v>89697.46666666666</v>
      </c>
      <c r="AX15" s="27">
        <v>8.6907136137175289</v>
      </c>
      <c r="AY15" s="27">
        <v>4.1555055454860783</v>
      </c>
      <c r="AZ15" s="25">
        <v>33676.976900000009</v>
      </c>
      <c r="BA15" s="25">
        <v>30753.239333333331</v>
      </c>
      <c r="BB15" s="25">
        <v>4405.6341066666673</v>
      </c>
      <c r="BC15" s="25">
        <v>60024.582126666668</v>
      </c>
      <c r="BD15" s="25">
        <v>64430.216233333325</v>
      </c>
      <c r="BE15" s="25">
        <v>175944.3</v>
      </c>
      <c r="BF15" s="25">
        <v>379623.03666666662</v>
      </c>
      <c r="BG15" s="25">
        <v>315192.82043333328</v>
      </c>
      <c r="BH15" s="27">
        <v>2.7307730795566418</v>
      </c>
      <c r="BI15" s="27">
        <v>5.8920031447956953</v>
      </c>
    </row>
    <row r="16" spans="1:64" ht="14.45" x14ac:dyDescent="0.35">
      <c r="A16" s="24">
        <v>2</v>
      </c>
      <c r="B16" s="24">
        <v>6</v>
      </c>
      <c r="C16" s="25">
        <v>0</v>
      </c>
      <c r="D16" s="25">
        <v>0</v>
      </c>
      <c r="E16" s="25">
        <v>422.32500000000005</v>
      </c>
      <c r="F16" s="25">
        <f t="shared" si="0"/>
        <v>422.32500000000005</v>
      </c>
      <c r="G16" s="25">
        <v>294</v>
      </c>
      <c r="H16" s="25">
        <v>12591.804666666667</v>
      </c>
      <c r="I16" s="25">
        <v>541.4</v>
      </c>
      <c r="J16" s="25">
        <v>17595.431400000001</v>
      </c>
      <c r="K16" s="32">
        <f t="shared" si="1"/>
        <v>31022.636066666666</v>
      </c>
      <c r="L16" s="25">
        <v>62.72</v>
      </c>
      <c r="M16" s="25">
        <v>1996.2079333333336</v>
      </c>
      <c r="N16" s="32">
        <f t="shared" si="2"/>
        <v>2058.9279333333334</v>
      </c>
      <c r="O16" s="25">
        <v>1126.2</v>
      </c>
      <c r="P16" s="25">
        <v>385</v>
      </c>
      <c r="Q16" s="25">
        <v>34999.309000000001</v>
      </c>
      <c r="R16" s="5">
        <v>2232.0987882653062</v>
      </c>
      <c r="S16" s="25">
        <v>21572.10433333334</v>
      </c>
      <c r="T16" s="25">
        <v>13427.204666666667</v>
      </c>
      <c r="U16" s="25">
        <v>2352.9279333333334</v>
      </c>
      <c r="V16" s="25">
        <v>32646.381066666672</v>
      </c>
      <c r="W16" s="25">
        <v>100665.59999999999</v>
      </c>
      <c r="X16" s="25">
        <v>214253.51666666666</v>
      </c>
      <c r="Y16" s="33">
        <v>179254.20766666665</v>
      </c>
      <c r="Z16" s="34">
        <v>6.1216499064786278</v>
      </c>
      <c r="AA16" s="34">
        <v>2.8762167847370921</v>
      </c>
      <c r="AB16" s="25">
        <v>0</v>
      </c>
      <c r="AC16" s="25">
        <v>892.36505555555561</v>
      </c>
      <c r="AD16" s="33">
        <v>892.36505555555561</v>
      </c>
      <c r="AE16" s="25">
        <v>1470</v>
      </c>
      <c r="AF16" s="25">
        <v>11117.9792</v>
      </c>
      <c r="AG16" s="25">
        <v>462</v>
      </c>
      <c r="AH16" s="25">
        <v>3429.0741600000001</v>
      </c>
      <c r="AI16" s="33">
        <v>16479.053359999998</v>
      </c>
      <c r="AJ16" s="25">
        <v>0</v>
      </c>
      <c r="AK16" s="25">
        <v>414.32823999999994</v>
      </c>
      <c r="AL16" s="33">
        <v>414.32823999999994</v>
      </c>
      <c r="AM16" s="25">
        <v>844.65000000000009</v>
      </c>
      <c r="AN16" s="25">
        <v>369.22</v>
      </c>
      <c r="AO16" s="33">
        <v>18999.616655555554</v>
      </c>
      <c r="AP16" s="33">
        <f t="shared" si="3"/>
        <v>1211.7102458900226</v>
      </c>
      <c r="AQ16" s="25">
        <v>5949.6374555555558</v>
      </c>
      <c r="AR16" s="25">
        <v>13049.9792</v>
      </c>
      <c r="AS16" s="25">
        <v>1884.3282399999998</v>
      </c>
      <c r="AT16" s="25">
        <v>17115.288415555558</v>
      </c>
      <c r="AU16" s="25">
        <v>83804.7</v>
      </c>
      <c r="AV16" s="25">
        <v>173062.5</v>
      </c>
      <c r="AW16" s="25">
        <v>89257.8</v>
      </c>
      <c r="AX16" s="27">
        <v>9.1087364096578174</v>
      </c>
      <c r="AY16" s="27">
        <v>4.4108626778790931</v>
      </c>
      <c r="AZ16" s="25">
        <v>33676.976900000009</v>
      </c>
      <c r="BA16" s="25">
        <v>29974.8292</v>
      </c>
      <c r="BB16" s="25">
        <v>4405.6341066666673</v>
      </c>
      <c r="BC16" s="25">
        <v>59246.171993333337</v>
      </c>
      <c r="BD16" s="25">
        <v>63651.806099999994</v>
      </c>
      <c r="BE16" s="25">
        <v>184470.3</v>
      </c>
      <c r="BF16" s="25">
        <v>387316.01666666666</v>
      </c>
      <c r="BG16" s="25">
        <v>323664.21056666668</v>
      </c>
      <c r="BH16" s="27">
        <v>2.8981157221240261</v>
      </c>
      <c r="BI16" s="27">
        <v>6.0849179370994584</v>
      </c>
    </row>
    <row r="17" spans="1:61" ht="14.45" x14ac:dyDescent="0.35">
      <c r="A17" s="24">
        <v>3</v>
      </c>
      <c r="B17" s="24">
        <v>1</v>
      </c>
      <c r="C17" s="25">
        <v>1978.3945555555556</v>
      </c>
      <c r="D17" s="25">
        <v>1382.2123333333336</v>
      </c>
      <c r="E17" s="25">
        <f>188.16+789.58</f>
        <v>977.74</v>
      </c>
      <c r="F17" s="25">
        <f>SUM(C17:E17)</f>
        <v>4338.3468888888892</v>
      </c>
      <c r="G17" s="25">
        <v>183.75</v>
      </c>
      <c r="H17" s="25">
        <v>14747.899999999998</v>
      </c>
      <c r="I17" s="25">
        <v>1993.2</v>
      </c>
      <c r="J17" s="25">
        <v>19566.079520000003</v>
      </c>
      <c r="K17" s="32">
        <f>SUM(G17:J17)</f>
        <v>36490.929520000005</v>
      </c>
      <c r="L17" s="25">
        <v>47.04</v>
      </c>
      <c r="M17" s="25">
        <v>2293.0999466666672</v>
      </c>
      <c r="N17" s="32">
        <f>SUM(L17:M17)</f>
        <v>2340.1399466666671</v>
      </c>
      <c r="O17" s="25">
        <v>1126.2</v>
      </c>
      <c r="P17" s="25">
        <v>385</v>
      </c>
      <c r="Q17" s="25">
        <v>44664.836355555562</v>
      </c>
      <c r="R17" s="5">
        <v>2848.52272675737</v>
      </c>
      <c r="S17" s="25">
        <v>27739.98635555556</v>
      </c>
      <c r="T17" s="25">
        <v>16924.849999999999</v>
      </c>
      <c r="U17" s="25">
        <v>2523.8899466666671</v>
      </c>
      <c r="V17" s="25">
        <v>42140.946408888893</v>
      </c>
      <c r="W17" s="25">
        <v>102532.5</v>
      </c>
      <c r="X17" s="25">
        <v>225891.33666666667</v>
      </c>
      <c r="Y17" s="33">
        <v>181226.5003111111</v>
      </c>
      <c r="Z17" s="34">
        <v>5.0574759721149096</v>
      </c>
      <c r="AA17" s="34">
        <v>2.2955977983169453</v>
      </c>
      <c r="AB17" s="25">
        <v>2228.2002222222222</v>
      </c>
      <c r="AC17" s="25">
        <v>849.90788888888881</v>
      </c>
      <c r="AD17" s="33">
        <v>3078.1081111111112</v>
      </c>
      <c r="AE17" s="25">
        <v>1470</v>
      </c>
      <c r="AF17" s="25">
        <v>14327.899999999998</v>
      </c>
      <c r="AG17" s="25">
        <v>364</v>
      </c>
      <c r="AH17" s="25">
        <v>3715.9070400000001</v>
      </c>
      <c r="AI17" s="33">
        <v>19877.80704</v>
      </c>
      <c r="AJ17" s="25">
        <v>15.68</v>
      </c>
      <c r="AK17" s="25">
        <v>448.15856000000002</v>
      </c>
      <c r="AL17" s="33">
        <v>463.83856000000003</v>
      </c>
      <c r="AM17" s="25">
        <v>844.65000000000009</v>
      </c>
      <c r="AN17" s="25">
        <v>369.22</v>
      </c>
      <c r="AO17" s="33">
        <v>24633.623711111115</v>
      </c>
      <c r="AP17" s="33">
        <f t="shared" si="3"/>
        <v>1571.0219203514741</v>
      </c>
      <c r="AQ17" s="25">
        <v>8471.7237111111117</v>
      </c>
      <c r="AR17" s="25">
        <v>16161.899999999998</v>
      </c>
      <c r="AS17" s="25">
        <v>1933.8385600000001</v>
      </c>
      <c r="AT17" s="25">
        <v>22699.785151111115</v>
      </c>
      <c r="AU17" s="25">
        <v>76675.199999999997</v>
      </c>
      <c r="AV17" s="25">
        <v>154336.83333333331</v>
      </c>
      <c r="AW17" s="25">
        <v>77661.633333333317</v>
      </c>
      <c r="AX17" s="27">
        <v>6.2652915033251455</v>
      </c>
      <c r="AY17" s="27">
        <v>3.1126236602134698</v>
      </c>
      <c r="AZ17" s="25">
        <v>36199.063155555566</v>
      </c>
      <c r="BA17" s="25">
        <v>33086.75</v>
      </c>
      <c r="BB17" s="25">
        <v>4455.1444266666676</v>
      </c>
      <c r="BC17" s="25">
        <v>64830.668728888893</v>
      </c>
      <c r="BD17" s="25">
        <v>69285.813155555559</v>
      </c>
      <c r="BE17" s="25">
        <v>179207.7</v>
      </c>
      <c r="BF17" s="25">
        <v>380228.17</v>
      </c>
      <c r="BG17" s="25">
        <v>310942.35684444441</v>
      </c>
      <c r="BH17" s="27">
        <v>2.5864991956961765</v>
      </c>
      <c r="BI17" s="27">
        <v>5.4878214266799299</v>
      </c>
    </row>
    <row r="18" spans="1:61" ht="14.45" x14ac:dyDescent="0.35">
      <c r="A18" s="24">
        <v>3</v>
      </c>
      <c r="B18" s="24">
        <v>2</v>
      </c>
      <c r="C18" s="25">
        <v>1978.3945555555556</v>
      </c>
      <c r="D18" s="25">
        <v>1382.2123333333336</v>
      </c>
      <c r="E18" s="25">
        <f>188.16+789.58</f>
        <v>977.74</v>
      </c>
      <c r="F18" s="25">
        <f t="shared" si="0"/>
        <v>4338.3468888888892</v>
      </c>
      <c r="G18" s="25">
        <v>183.75</v>
      </c>
      <c r="H18" s="25">
        <v>14747.899999999998</v>
      </c>
      <c r="I18" s="25">
        <v>1993.2</v>
      </c>
      <c r="J18" s="25">
        <v>19566.079520000003</v>
      </c>
      <c r="K18" s="32">
        <f t="shared" si="1"/>
        <v>36490.929520000005</v>
      </c>
      <c r="L18" s="25">
        <v>47.04</v>
      </c>
      <c r="M18" s="25">
        <v>2293.0999466666672</v>
      </c>
      <c r="N18" s="32">
        <f t="shared" si="2"/>
        <v>2340.1399466666671</v>
      </c>
      <c r="O18" s="25">
        <v>1126.2</v>
      </c>
      <c r="P18" s="25">
        <v>385</v>
      </c>
      <c r="Q18" s="25">
        <v>44664.836355555562</v>
      </c>
      <c r="R18" s="5">
        <v>2848.52272675737</v>
      </c>
      <c r="S18" s="25">
        <v>27739.98635555556</v>
      </c>
      <c r="T18" s="25">
        <v>16924.849999999999</v>
      </c>
      <c r="U18" s="25">
        <v>2523.8899466666671</v>
      </c>
      <c r="V18" s="25">
        <v>42140.946408888893</v>
      </c>
      <c r="W18" s="25">
        <v>103973.09999999999</v>
      </c>
      <c r="X18" s="25">
        <v>229361.66999999998</v>
      </c>
      <c r="Y18" s="33">
        <v>184696.83364444441</v>
      </c>
      <c r="Z18" s="34">
        <v>5.1351731857732696</v>
      </c>
      <c r="AA18" s="34">
        <v>2.327851358780753</v>
      </c>
      <c r="AB18" s="25">
        <v>2228.2002222222222</v>
      </c>
      <c r="AC18" s="25">
        <v>849.90788888888881</v>
      </c>
      <c r="AD18" s="33">
        <v>3078.1081111111112</v>
      </c>
      <c r="AE18" s="25">
        <v>1470</v>
      </c>
      <c r="AF18" s="25">
        <v>14327.899999999998</v>
      </c>
      <c r="AG18" s="25">
        <v>364</v>
      </c>
      <c r="AH18" s="25">
        <v>3715.9070400000001</v>
      </c>
      <c r="AI18" s="33">
        <v>19877.80704</v>
      </c>
      <c r="AJ18" s="25">
        <v>15.68</v>
      </c>
      <c r="AK18" s="25">
        <v>448.15856000000002</v>
      </c>
      <c r="AL18" s="33">
        <v>463.83856000000003</v>
      </c>
      <c r="AM18" s="25">
        <v>844.65000000000009</v>
      </c>
      <c r="AN18" s="25">
        <v>369.22</v>
      </c>
      <c r="AO18" s="33">
        <v>24633.623711111115</v>
      </c>
      <c r="AP18" s="33">
        <f t="shared" si="3"/>
        <v>1571.0219203514741</v>
      </c>
      <c r="AQ18" s="25">
        <v>8471.7237111111117</v>
      </c>
      <c r="AR18" s="25">
        <v>16161.899999999998</v>
      </c>
      <c r="AS18" s="25">
        <v>1933.8385600000001</v>
      </c>
      <c r="AT18" s="25">
        <v>22699.785151111115</v>
      </c>
      <c r="AU18" s="25">
        <v>75028.800000000003</v>
      </c>
      <c r="AV18" s="25">
        <v>152671.5</v>
      </c>
      <c r="AW18" s="25">
        <v>77642.7</v>
      </c>
      <c r="AX18" s="27">
        <v>6.1976874287941968</v>
      </c>
      <c r="AY18" s="27">
        <v>3.0457881828469233</v>
      </c>
      <c r="AZ18" s="25">
        <v>36199.063155555566</v>
      </c>
      <c r="BA18" s="25">
        <v>33086.75</v>
      </c>
      <c r="BB18" s="25">
        <v>4455.1444266666676</v>
      </c>
      <c r="BC18" s="25">
        <v>64830.668728888893</v>
      </c>
      <c r="BD18" s="25">
        <v>69285.813155555559</v>
      </c>
      <c r="BE18" s="25">
        <v>179001.9</v>
      </c>
      <c r="BF18" s="25">
        <v>382033.17</v>
      </c>
      <c r="BG18" s="25">
        <v>312747.35684444441</v>
      </c>
      <c r="BH18" s="27">
        <v>2.5835288906564133</v>
      </c>
      <c r="BI18" s="27">
        <v>5.5138729358965071</v>
      </c>
    </row>
    <row r="19" spans="1:61" ht="14.45" x14ac:dyDescent="0.35">
      <c r="A19" s="24">
        <v>3</v>
      </c>
      <c r="B19" s="24">
        <v>3</v>
      </c>
      <c r="C19" s="25">
        <v>1061.2841666666666</v>
      </c>
      <c r="D19" s="25">
        <v>249.80566666666672</v>
      </c>
      <c r="E19" s="25">
        <v>422.32500000000005</v>
      </c>
      <c r="F19" s="25">
        <f t="shared" si="0"/>
        <v>1733.4148333333333</v>
      </c>
      <c r="G19" s="25">
        <v>294</v>
      </c>
      <c r="H19" s="25">
        <v>13474.3</v>
      </c>
      <c r="I19" s="25">
        <v>351.39999999999992</v>
      </c>
      <c r="J19" s="25">
        <v>17026.503119999998</v>
      </c>
      <c r="K19" s="32">
        <f t="shared" si="1"/>
        <v>31146.203119999998</v>
      </c>
      <c r="L19" s="25">
        <v>62.72</v>
      </c>
      <c r="M19" s="25">
        <v>1932.99368</v>
      </c>
      <c r="N19" s="32">
        <f t="shared" si="2"/>
        <v>1995.7136800000001</v>
      </c>
      <c r="O19" s="25">
        <v>1126.2</v>
      </c>
      <c r="P19" s="25">
        <v>385</v>
      </c>
      <c r="Q19" s="25">
        <v>36370.751633333333</v>
      </c>
      <c r="R19" s="5">
        <v>2319.5632419217686</v>
      </c>
      <c r="S19" s="25">
        <v>22251.051633333333</v>
      </c>
      <c r="T19" s="25">
        <v>14119.699999999999</v>
      </c>
      <c r="U19" s="25">
        <v>2289.7136799999998</v>
      </c>
      <c r="V19" s="25">
        <v>34081.037953333325</v>
      </c>
      <c r="W19" s="25">
        <v>102018</v>
      </c>
      <c r="X19" s="25">
        <v>231482.66666666666</v>
      </c>
      <c r="Y19" s="33">
        <v>195111.91503333332</v>
      </c>
      <c r="Z19" s="34">
        <v>6.3645279866725586</v>
      </c>
      <c r="AA19" s="34">
        <v>2.8049461564193194</v>
      </c>
      <c r="AB19" s="25">
        <v>1382.2123333333334</v>
      </c>
      <c r="AC19" s="25">
        <v>594.1016666666668</v>
      </c>
      <c r="AD19" s="33">
        <v>1976.3140000000003</v>
      </c>
      <c r="AE19" s="25">
        <v>1470</v>
      </c>
      <c r="AF19" s="25">
        <v>12751.8</v>
      </c>
      <c r="AG19" s="25">
        <v>352</v>
      </c>
      <c r="AH19" s="25">
        <v>3641.8300799999997</v>
      </c>
      <c r="AI19" s="33">
        <v>18215.630079999999</v>
      </c>
      <c r="AJ19" s="25">
        <v>15.68</v>
      </c>
      <c r="AK19" s="25">
        <v>432.08778666666672</v>
      </c>
      <c r="AL19" s="33">
        <v>447.76778666666672</v>
      </c>
      <c r="AM19" s="25">
        <v>844.65000000000009</v>
      </c>
      <c r="AN19" s="25">
        <v>369.22</v>
      </c>
      <c r="AO19" s="33">
        <v>21853.581866666671</v>
      </c>
      <c r="AP19" s="33">
        <f t="shared" si="3"/>
        <v>1393.7233333333336</v>
      </c>
      <c r="AQ19" s="25">
        <v>7279.7818666666672</v>
      </c>
      <c r="AR19" s="25">
        <v>14573.8</v>
      </c>
      <c r="AS19" s="25">
        <v>1917.7677866666668</v>
      </c>
      <c r="AT19" s="25">
        <v>19935.814080000004</v>
      </c>
      <c r="AU19" s="25">
        <v>80409</v>
      </c>
      <c r="AV19" s="25">
        <v>163166.63333333336</v>
      </c>
      <c r="AW19" s="25">
        <v>82757.63333333336</v>
      </c>
      <c r="AX19" s="27">
        <v>7.4663565144079138</v>
      </c>
      <c r="AY19" s="27">
        <v>3.6794425962111075</v>
      </c>
      <c r="AZ19" s="25">
        <v>35007.121311111121</v>
      </c>
      <c r="BA19" s="25">
        <v>31498.649999999998</v>
      </c>
      <c r="BB19" s="25">
        <v>4439.0736533333347</v>
      </c>
      <c r="BC19" s="25">
        <v>62066.697657777782</v>
      </c>
      <c r="BD19" s="25">
        <v>66505.771311111108</v>
      </c>
      <c r="BE19" s="25">
        <v>182427</v>
      </c>
      <c r="BF19" s="25">
        <v>394649.30000000005</v>
      </c>
      <c r="BG19" s="25">
        <v>328143.52868888894</v>
      </c>
      <c r="BH19" s="27">
        <v>2.7430250999813901</v>
      </c>
      <c r="BI19" s="27">
        <v>5.9340609426789106</v>
      </c>
    </row>
    <row r="20" spans="1:61" ht="14.45" x14ac:dyDescent="0.35">
      <c r="A20" s="24">
        <v>3</v>
      </c>
      <c r="B20" s="24">
        <v>4</v>
      </c>
      <c r="C20" s="25">
        <v>1061.2841666666666</v>
      </c>
      <c r="D20" s="25">
        <v>249.80566666666672</v>
      </c>
      <c r="E20" s="25">
        <v>422.32500000000005</v>
      </c>
      <c r="F20" s="25">
        <f t="shared" si="0"/>
        <v>1733.4148333333333</v>
      </c>
      <c r="G20" s="25">
        <v>294</v>
      </c>
      <c r="H20" s="25">
        <v>13474.3</v>
      </c>
      <c r="I20" s="25">
        <v>341.39999999999992</v>
      </c>
      <c r="J20" s="25">
        <v>15529.459440000001</v>
      </c>
      <c r="K20" s="32">
        <f t="shared" si="1"/>
        <v>29639.159439999999</v>
      </c>
      <c r="L20" s="25">
        <v>62.72</v>
      </c>
      <c r="M20" s="25">
        <v>1766.6554933333332</v>
      </c>
      <c r="N20" s="32">
        <f t="shared" si="2"/>
        <v>1829.3754933333332</v>
      </c>
      <c r="O20" s="25">
        <v>1126.2</v>
      </c>
      <c r="P20" s="25">
        <v>385</v>
      </c>
      <c r="Q20" s="25">
        <v>34697.369766666663</v>
      </c>
      <c r="R20" s="5">
        <v>2212.8424596088435</v>
      </c>
      <c r="S20" s="25">
        <v>20587.66976666667</v>
      </c>
      <c r="T20" s="25">
        <v>14109.699999999999</v>
      </c>
      <c r="U20" s="25">
        <v>2123.375493333333</v>
      </c>
      <c r="V20" s="25">
        <v>32573.994273333334</v>
      </c>
      <c r="W20" s="25">
        <v>103517.4</v>
      </c>
      <c r="X20" s="25">
        <v>232916.83333333331</v>
      </c>
      <c r="Y20" s="33">
        <v>198219.46356666664</v>
      </c>
      <c r="Z20" s="34">
        <v>6.7128094982315805</v>
      </c>
      <c r="AA20" s="34">
        <v>2.9834365168349986</v>
      </c>
      <c r="AB20" s="25">
        <v>0</v>
      </c>
      <c r="AC20" s="25">
        <v>892.36505555555561</v>
      </c>
      <c r="AD20" s="33">
        <v>892</v>
      </c>
      <c r="AE20" s="25">
        <v>1470</v>
      </c>
      <c r="AF20" s="25">
        <v>12751.8</v>
      </c>
      <c r="AG20" s="25">
        <v>462</v>
      </c>
      <c r="AH20" s="25">
        <v>3275.7520799999998</v>
      </c>
      <c r="AI20" s="33">
        <v>17959.552079999998</v>
      </c>
      <c r="AJ20" s="25">
        <v>0</v>
      </c>
      <c r="AK20" s="25">
        <v>397.2924533333333</v>
      </c>
      <c r="AL20" s="33">
        <v>397.2924533333333</v>
      </c>
      <c r="AM20" s="25">
        <v>844.65000000000009</v>
      </c>
      <c r="AN20" s="25">
        <v>369.22</v>
      </c>
      <c r="AO20" s="33">
        <v>20463.079588888886</v>
      </c>
      <c r="AP20" s="33">
        <f t="shared" si="3"/>
        <v>1305.0433411281178</v>
      </c>
      <c r="AQ20" s="25">
        <v>5779.2795888888895</v>
      </c>
      <c r="AR20" s="25">
        <v>14683.8</v>
      </c>
      <c r="AS20" s="25">
        <v>1867.2924533333332</v>
      </c>
      <c r="AT20" s="25">
        <v>18595.787135555558</v>
      </c>
      <c r="AU20" s="25">
        <v>82672.800000000003</v>
      </c>
      <c r="AV20" s="25">
        <v>167094.66666666663</v>
      </c>
      <c r="AW20" s="25">
        <v>84421.866666666625</v>
      </c>
      <c r="AX20" s="27">
        <v>8.1656656780730223</v>
      </c>
      <c r="AY20" s="27">
        <v>4.0400957070454808</v>
      </c>
      <c r="AZ20" s="25">
        <v>33506.619033333343</v>
      </c>
      <c r="BA20" s="25">
        <v>31608.649999999998</v>
      </c>
      <c r="BB20" s="25">
        <v>4388.598320000001</v>
      </c>
      <c r="BC20" s="25">
        <v>60726.67071333334</v>
      </c>
      <c r="BD20" s="25">
        <v>65115.26903333333</v>
      </c>
      <c r="BE20" s="25">
        <v>186190.2</v>
      </c>
      <c r="BF20" s="25">
        <v>400011.49999999994</v>
      </c>
      <c r="BG20" s="25">
        <v>334896.2309666666</v>
      </c>
      <c r="BH20" s="27">
        <v>2.8593938528409808</v>
      </c>
      <c r="BI20" s="27">
        <v>6.1431290377565508</v>
      </c>
    </row>
    <row r="21" spans="1:61" ht="14.45" x14ac:dyDescent="0.35">
      <c r="A21" s="24">
        <v>3</v>
      </c>
      <c r="B21" s="24">
        <v>5</v>
      </c>
      <c r="C21" s="25">
        <v>0</v>
      </c>
      <c r="D21" s="25">
        <v>0</v>
      </c>
      <c r="E21" s="25">
        <v>422.32500000000005</v>
      </c>
      <c r="F21" s="25">
        <f t="shared" si="0"/>
        <v>422.32500000000005</v>
      </c>
      <c r="G21" s="25">
        <v>294</v>
      </c>
      <c r="H21" s="25">
        <v>13549.258666666667</v>
      </c>
      <c r="I21" s="25">
        <v>541.4</v>
      </c>
      <c r="J21" s="25">
        <v>14060.84064</v>
      </c>
      <c r="K21" s="32">
        <f t="shared" si="1"/>
        <v>28445.499306666665</v>
      </c>
      <c r="L21" s="25">
        <v>62.72</v>
      </c>
      <c r="M21" s="25">
        <v>1603.4756266666666</v>
      </c>
      <c r="N21" s="32">
        <f t="shared" si="2"/>
        <v>1666.1956266666666</v>
      </c>
      <c r="O21" s="25">
        <v>1126.2</v>
      </c>
      <c r="P21" s="25">
        <v>385</v>
      </c>
      <c r="Q21" s="25">
        <v>32029.439933333335</v>
      </c>
      <c r="R21" s="5">
        <v>2042.6938732993199</v>
      </c>
      <c r="S21" s="25">
        <v>17644.781266666669</v>
      </c>
      <c r="T21" s="25">
        <v>14384.658666666666</v>
      </c>
      <c r="U21" s="25">
        <v>1960.1956266666666</v>
      </c>
      <c r="V21" s="25">
        <v>30069.244306666671</v>
      </c>
      <c r="W21" s="25">
        <v>104384.7</v>
      </c>
      <c r="X21" s="25">
        <v>238124.93666666668</v>
      </c>
      <c r="Y21" s="33">
        <v>206095.49673333333</v>
      </c>
      <c r="Z21" s="34">
        <v>7.4345644869939749</v>
      </c>
      <c r="AA21" s="34">
        <v>3.2590235800959437</v>
      </c>
      <c r="AB21" s="25">
        <v>0</v>
      </c>
      <c r="AC21" s="25">
        <v>892.36505555555561</v>
      </c>
      <c r="AD21" s="33">
        <v>892.36505555555561</v>
      </c>
      <c r="AE21" s="25">
        <v>1470</v>
      </c>
      <c r="AF21" s="25">
        <v>11497.344666666668</v>
      </c>
      <c r="AG21" s="25">
        <v>462</v>
      </c>
      <c r="AH21" s="25">
        <v>3275.7520799999998</v>
      </c>
      <c r="AI21" s="33">
        <v>16705.096746666666</v>
      </c>
      <c r="AJ21" s="25">
        <v>0</v>
      </c>
      <c r="AK21" s="25">
        <v>397.2924533333333</v>
      </c>
      <c r="AL21" s="33">
        <v>397.2924533333333</v>
      </c>
      <c r="AM21" s="25">
        <v>844.65000000000009</v>
      </c>
      <c r="AN21" s="25">
        <v>369.22</v>
      </c>
      <c r="AO21" s="33">
        <v>19208.624255555555</v>
      </c>
      <c r="AP21" s="33">
        <f t="shared" si="3"/>
        <v>1225.0398122165532</v>
      </c>
      <c r="AQ21" s="25">
        <v>5779.2795888888895</v>
      </c>
      <c r="AR21" s="25">
        <v>13429.344666666668</v>
      </c>
      <c r="AS21" s="25">
        <v>1867.2924533333332</v>
      </c>
      <c r="AT21" s="25">
        <v>17341.331802222227</v>
      </c>
      <c r="AU21" s="25">
        <v>85906.8</v>
      </c>
      <c r="AV21" s="25">
        <v>172872.16666666663</v>
      </c>
      <c r="AW21" s="25">
        <v>86965.366666666625</v>
      </c>
      <c r="AX21" s="27">
        <v>8.9997161882464418</v>
      </c>
      <c r="AY21" s="27">
        <v>4.4723036307586606</v>
      </c>
      <c r="AZ21" s="25">
        <v>33506.619033333343</v>
      </c>
      <c r="BA21" s="25">
        <v>30354.194666666666</v>
      </c>
      <c r="BB21" s="25">
        <v>4388.598320000001</v>
      </c>
      <c r="BC21" s="25">
        <v>59472.215380000009</v>
      </c>
      <c r="BD21" s="25">
        <v>63860.813699999999</v>
      </c>
      <c r="BE21" s="25">
        <v>190291.5</v>
      </c>
      <c r="BF21" s="25">
        <v>410997.10333333327</v>
      </c>
      <c r="BG21" s="25">
        <v>347136.28963333328</v>
      </c>
      <c r="BH21" s="27">
        <v>2.9797850821935268</v>
      </c>
      <c r="BI21" s="27">
        <v>6.4358262840821476</v>
      </c>
    </row>
    <row r="22" spans="1:61" ht="14.45" x14ac:dyDescent="0.35">
      <c r="A22" s="24">
        <v>3</v>
      </c>
      <c r="B22" s="24">
        <v>6</v>
      </c>
      <c r="C22" s="25">
        <v>0</v>
      </c>
      <c r="D22" s="25">
        <v>0</v>
      </c>
      <c r="E22" s="25">
        <v>422.32500000000005</v>
      </c>
      <c r="F22" s="25">
        <f t="shared" si="0"/>
        <v>422.32500000000005</v>
      </c>
      <c r="G22" s="25">
        <v>294</v>
      </c>
      <c r="H22" s="25">
        <v>12281.599999999999</v>
      </c>
      <c r="I22" s="25">
        <v>541.4</v>
      </c>
      <c r="J22" s="25">
        <v>14060.84064</v>
      </c>
      <c r="K22" s="32">
        <f t="shared" si="1"/>
        <v>27177.840639999999</v>
      </c>
      <c r="L22" s="25">
        <v>62.72</v>
      </c>
      <c r="M22" s="25">
        <v>1603.4756266666666</v>
      </c>
      <c r="N22" s="32">
        <f t="shared" si="2"/>
        <v>1666.1956266666666</v>
      </c>
      <c r="O22" s="25">
        <v>1126.2</v>
      </c>
      <c r="P22" s="25">
        <v>385</v>
      </c>
      <c r="Q22" s="25">
        <v>30761.781266666669</v>
      </c>
      <c r="R22" s="5">
        <v>1961.8482950680275</v>
      </c>
      <c r="S22" s="25">
        <v>17644.781266666669</v>
      </c>
      <c r="T22" s="25">
        <v>13116.999999999998</v>
      </c>
      <c r="U22" s="25">
        <v>1960.1956266666666</v>
      </c>
      <c r="V22" s="25">
        <v>28801.585640000001</v>
      </c>
      <c r="W22" s="25">
        <v>107089.5</v>
      </c>
      <c r="X22" s="25">
        <v>242054.5</v>
      </c>
      <c r="Y22" s="33">
        <v>211292.71873333334</v>
      </c>
      <c r="Z22" s="34">
        <v>7.8686763260451764</v>
      </c>
      <c r="AA22" s="34">
        <v>3.4812515917614211</v>
      </c>
      <c r="AB22" s="25">
        <v>0</v>
      </c>
      <c r="AC22" s="25">
        <v>892.36505555555561</v>
      </c>
      <c r="AD22" s="33">
        <v>892.36505555555561</v>
      </c>
      <c r="AE22" s="25">
        <v>1470</v>
      </c>
      <c r="AF22" s="25">
        <v>10697.349999999999</v>
      </c>
      <c r="AG22" s="25">
        <v>462</v>
      </c>
      <c r="AH22" s="25">
        <v>3275.7520799999998</v>
      </c>
      <c r="AI22" s="33">
        <v>15905.102079999999</v>
      </c>
      <c r="AJ22" s="25">
        <v>0</v>
      </c>
      <c r="AK22" s="25">
        <v>397.2924533333333</v>
      </c>
      <c r="AL22" s="33">
        <v>397.2924533333333</v>
      </c>
      <c r="AM22" s="25">
        <v>844.65000000000009</v>
      </c>
      <c r="AN22" s="25">
        <v>369.22</v>
      </c>
      <c r="AO22" s="33">
        <v>18408.629588888889</v>
      </c>
      <c r="AP22" s="33">
        <f t="shared" si="3"/>
        <v>1174.0197441893424</v>
      </c>
      <c r="AQ22" s="25">
        <v>5779.2795888888895</v>
      </c>
      <c r="AR22" s="25">
        <v>12629.349999999999</v>
      </c>
      <c r="AS22" s="25">
        <v>1867.2924533333332</v>
      </c>
      <c r="AT22" s="25">
        <v>16541.337135555554</v>
      </c>
      <c r="AU22" s="25">
        <v>87215.099999999991</v>
      </c>
      <c r="AV22" s="25">
        <v>175403.66666666666</v>
      </c>
      <c r="AW22" s="25">
        <v>88188.566666666666</v>
      </c>
      <c r="AX22" s="27">
        <v>9.5283391856902337</v>
      </c>
      <c r="AY22" s="27">
        <v>4.737729094871975</v>
      </c>
      <c r="AZ22" s="25">
        <v>33506.619033333343</v>
      </c>
      <c r="BA22" s="25">
        <v>29554.199999999997</v>
      </c>
      <c r="BB22" s="25">
        <v>4388.598320000001</v>
      </c>
      <c r="BC22" s="25">
        <v>58672.220713333329</v>
      </c>
      <c r="BD22" s="25">
        <v>63060.819033333333</v>
      </c>
      <c r="BE22" s="25">
        <v>194304.59999999998</v>
      </c>
      <c r="BF22" s="25">
        <v>417458.16666666663</v>
      </c>
      <c r="BG22" s="25">
        <v>354397.34763333329</v>
      </c>
      <c r="BH22" s="27">
        <v>3.0812254420180061</v>
      </c>
      <c r="BI22" s="27">
        <v>6.6199293486182338</v>
      </c>
    </row>
    <row r="23" spans="1:61" ht="21" customHeight="1" thickBot="1" x14ac:dyDescent="0.3">
      <c r="V23">
        <f>(V5+V11+V17)/3</f>
        <v>43044.79949185186</v>
      </c>
      <c r="W23">
        <f t="shared" ref="W23:Y23" si="5">(W5+W11+W17)/3</f>
        <v>98867.3</v>
      </c>
      <c r="X23">
        <f t="shared" si="5"/>
        <v>217461.42444444445</v>
      </c>
      <c r="Y23">
        <f t="shared" si="5"/>
        <v>171792.21110370368</v>
      </c>
    </row>
    <row r="24" spans="1:61" ht="75.75" thickBot="1" x14ac:dyDescent="0.3">
      <c r="B24" s="45" t="s">
        <v>169</v>
      </c>
      <c r="C24" s="45" t="s">
        <v>159</v>
      </c>
      <c r="D24" s="45" t="s">
        <v>160</v>
      </c>
      <c r="E24" s="39" t="s">
        <v>137</v>
      </c>
      <c r="F24" s="45" t="s">
        <v>14</v>
      </c>
      <c r="G24" s="66" t="s">
        <v>56</v>
      </c>
      <c r="L24" s="68" t="s">
        <v>126</v>
      </c>
      <c r="M24" s="68" t="s">
        <v>159</v>
      </c>
      <c r="N24" s="68" t="s">
        <v>160</v>
      </c>
      <c r="O24" s="39" t="s">
        <v>137</v>
      </c>
      <c r="P24" s="68" t="s">
        <v>14</v>
      </c>
      <c r="Q24" s="68" t="s">
        <v>56</v>
      </c>
    </row>
    <row r="25" spans="1:61" ht="28.5" customHeight="1" thickBot="1" x14ac:dyDescent="0.3">
      <c r="A25" s="65" t="s">
        <v>153</v>
      </c>
      <c r="B25" s="5">
        <f>((F5+F11+F17)/3)+((AD5+AD11+AD17)/3)</f>
        <v>7415.5929629629627</v>
      </c>
      <c r="C25" s="5">
        <f>(((K5+K11+K17)/3)+((AI5+AI11+AI17)/3))/10</f>
        <v>5748.5489800000005</v>
      </c>
      <c r="D25" s="5">
        <f>((N5+N11+N17)/3)+(AL5+AL11+AL17)/3</f>
        <v>2928.0622000000003</v>
      </c>
      <c r="E25" s="5">
        <f>((O5+O11+O17)/3)+(AM5+AM11+AM17)/3</f>
        <v>1970.8500000000001</v>
      </c>
      <c r="F25" s="5">
        <f>((P5+P11+P17)/3)+(AN5+AN11+AN17)/3</f>
        <v>754.22</v>
      </c>
      <c r="G25" s="5">
        <f>SUM(F5,AD5)</f>
        <v>7413.8688888888883</v>
      </c>
      <c r="H25" s="5">
        <f>SUM(K5,AI5)</f>
        <v>56433.769239999994</v>
      </c>
      <c r="I25" s="5">
        <f>SUM(N5,AL5)</f>
        <v>2811.2043600000006</v>
      </c>
      <c r="J25" s="5">
        <f>SUM(O5,AM5)</f>
        <v>1970.8500000000001</v>
      </c>
      <c r="K25" s="5">
        <f>SUM(P5,AN5)</f>
        <v>754.22</v>
      </c>
      <c r="L25" s="17">
        <f>((STDEV(F5,F11,F17)/SQRT(3))+(STDEV(AD5,AD11,AD17)/SQRT(3)))/2</f>
        <v>0.43101851851861284</v>
      </c>
      <c r="M25" s="17">
        <f>((STDEV(K5,K11,K17)/SQRT(3))+(STDEV(AI5,AI11,AI17)/SQRT(3)))/2</f>
        <v>543.09249532288527</v>
      </c>
      <c r="N25" s="17">
        <f>((STDEV(N5,N11,N17)/SQRT(3))+(STDEV(AL5,AL11,AL17)/SQRT(3)))/2</f>
        <v>60.34361059143157</v>
      </c>
      <c r="O25" s="17">
        <f>((STDEV(O5,O11,O17)/SQRT(3))+(STDEV(AM5,AM11,AM17)/SQRT(3)))/2</f>
        <v>0</v>
      </c>
      <c r="P25" s="17">
        <f>((STDEV(P5,P11,P17)/SQRT(3))+(STDEV(AN5,AN11,AN17)/SQRT(3)))/2</f>
        <v>0</v>
      </c>
      <c r="Q25" s="17">
        <f>((STDEV(Q5,Q11,Q17)/SQRT(3))+(STDEV(AO5,AO11,AO17)/SQRT(3)))/2</f>
        <v>603.65447974299627</v>
      </c>
    </row>
    <row r="26" spans="1:61" ht="15" customHeight="1" thickBot="1" x14ac:dyDescent="0.3">
      <c r="A26" s="67" t="s">
        <v>154</v>
      </c>
      <c r="B26" s="5">
        <f t="shared" ref="B26:B30" si="6">((F6+F12+F18)/3)+((AD6+AD12+AD18)/3)</f>
        <v>7415.5929629629627</v>
      </c>
      <c r="C26" s="5">
        <f t="shared" ref="C26:C30" si="7">(((K6+K12+K18)/3)+((AI6+AI12+AI18)/3))/10</f>
        <v>5748.5489800000005</v>
      </c>
      <c r="D26" s="5">
        <f t="shared" ref="D26:D29" si="8">((N6+N12+N18)/3)+(AL6+AL12+AL18)/3</f>
        <v>2928.0622000000003</v>
      </c>
      <c r="E26" s="5">
        <f t="shared" ref="E26:F26" si="9">((O6+O12+O18)/3)+(AM6+AM12+AM18)/3</f>
        <v>1970.8500000000001</v>
      </c>
      <c r="F26" s="5">
        <f t="shared" si="9"/>
        <v>754.22</v>
      </c>
      <c r="G26" s="5">
        <f t="shared" ref="G26:G41" si="10">SUM(F6,AD6)</f>
        <v>7413.8688888888883</v>
      </c>
      <c r="H26" s="5">
        <f t="shared" ref="H26:H42" si="11">SUM(K6,AI6)</f>
        <v>56433.769239999994</v>
      </c>
      <c r="I26" s="5">
        <f t="shared" ref="I26:K26" si="12">SUM(N6,AL6)</f>
        <v>2811.2043600000006</v>
      </c>
      <c r="J26" s="5">
        <f t="shared" si="12"/>
        <v>1970.8500000000001</v>
      </c>
      <c r="K26" s="5">
        <f t="shared" si="12"/>
        <v>754.22</v>
      </c>
      <c r="L26" s="17">
        <f t="shared" ref="L26:L30" si="13">((STDEV(F6,F12,F18)/SQRT(3))+(STDEV(AD6,AD12,AD18)/SQRT(3)))/2</f>
        <v>0.43101851851861284</v>
      </c>
      <c r="M26" s="17">
        <f t="shared" ref="M26:M30" si="14">((STDEV(K6,K12,K18)/SQRT(3))+(STDEV(AI6,AI12,AI18)/SQRT(3)))/2</f>
        <v>543.09249532288527</v>
      </c>
      <c r="N26" s="17">
        <f t="shared" ref="N26:Q30" si="15">((STDEV(N6,N12,N18)/SQRT(3))+(STDEV(AL6,AL12,AL18)/SQRT(3)))/2</f>
        <v>60.34361059143157</v>
      </c>
      <c r="O26" s="17">
        <f t="shared" si="15"/>
        <v>0</v>
      </c>
      <c r="P26" s="17">
        <f t="shared" si="15"/>
        <v>0</v>
      </c>
      <c r="Q26" s="17">
        <f t="shared" si="15"/>
        <v>603.65447974299343</v>
      </c>
    </row>
    <row r="27" spans="1:61" ht="15.75" thickBot="1" x14ac:dyDescent="0.3">
      <c r="A27" s="67" t="s">
        <v>155</v>
      </c>
      <c r="B27" s="5">
        <f t="shared" si="6"/>
        <v>3709.4021666666667</v>
      </c>
      <c r="C27" s="5">
        <f t="shared" si="7"/>
        <v>5025.1187399999999</v>
      </c>
      <c r="D27" s="5">
        <f t="shared" si="8"/>
        <v>2542.2986000000001</v>
      </c>
      <c r="E27" s="5">
        <f t="shared" ref="E27:F27" si="16">((O7+O13+O19)/3)+(AM7+AM13+AM19)/3</f>
        <v>1970.8500000000001</v>
      </c>
      <c r="F27" s="5">
        <f t="shared" si="16"/>
        <v>754.22</v>
      </c>
      <c r="G27" s="5">
        <f t="shared" si="10"/>
        <v>3708.748833333334</v>
      </c>
      <c r="H27" s="5">
        <f t="shared" si="11"/>
        <v>49101.271800000002</v>
      </c>
      <c r="I27" s="5">
        <f t="shared" ref="I27:K27" si="17">SUM(N7,AL7)</f>
        <v>2414.5302000000001</v>
      </c>
      <c r="J27" s="5">
        <f t="shared" si="17"/>
        <v>1970.8500000000001</v>
      </c>
      <c r="K27" s="5">
        <f t="shared" si="17"/>
        <v>754.22</v>
      </c>
      <c r="L27" s="17">
        <f t="shared" si="13"/>
        <v>0.16333333333329847</v>
      </c>
      <c r="M27" s="17">
        <f t="shared" si="14"/>
        <v>511.20275701597757</v>
      </c>
      <c r="N27" s="17">
        <f t="shared" si="15"/>
        <v>56.800306335108672</v>
      </c>
      <c r="O27" s="17">
        <f t="shared" si="15"/>
        <v>0</v>
      </c>
      <c r="P27" s="17">
        <f t="shared" si="15"/>
        <v>0</v>
      </c>
      <c r="Q27" s="17">
        <f t="shared" si="15"/>
        <v>568.09494494544992</v>
      </c>
    </row>
    <row r="28" spans="1:61" ht="15.75" thickBot="1" x14ac:dyDescent="0.3">
      <c r="A28" s="67" t="s">
        <v>156</v>
      </c>
      <c r="B28" s="5">
        <f t="shared" si="6"/>
        <v>2625.0881666666664</v>
      </c>
      <c r="C28" s="5">
        <f t="shared" si="7"/>
        <v>4872.1207159999994</v>
      </c>
      <c r="D28" s="5">
        <f t="shared" si="8"/>
        <v>2351.3896844444444</v>
      </c>
      <c r="E28" s="5">
        <f t="shared" ref="E28:F28" si="18">((O8+O14+O20)/3)+(AM8+AM14+AM20)/3</f>
        <v>1970.8500000000001</v>
      </c>
      <c r="F28" s="5">
        <f t="shared" si="18"/>
        <v>754.22</v>
      </c>
      <c r="G28" s="5">
        <f t="shared" si="10"/>
        <v>2624.4348333333337</v>
      </c>
      <c r="H28" s="5">
        <f t="shared" si="11"/>
        <v>47725.331439999994</v>
      </c>
      <c r="I28" s="5">
        <f t="shared" ref="I28:K28" si="19">SUM(N8,AL8)</f>
        <v>2240.7368266666667</v>
      </c>
      <c r="J28" s="5">
        <f t="shared" si="19"/>
        <v>1970.8500000000001</v>
      </c>
      <c r="K28" s="5">
        <f t="shared" si="19"/>
        <v>754.22</v>
      </c>
      <c r="L28" s="17">
        <f t="shared" si="13"/>
        <v>0.16333333333329847</v>
      </c>
      <c r="M28" s="17">
        <f t="shared" si="14"/>
        <v>547.07504702118115</v>
      </c>
      <c r="N28" s="17">
        <f t="shared" si="15"/>
        <v>60.786116335686685</v>
      </c>
      <c r="O28" s="17">
        <f t="shared" si="15"/>
        <v>0</v>
      </c>
      <c r="P28" s="17">
        <f t="shared" si="15"/>
        <v>0</v>
      </c>
      <c r="Q28" s="17">
        <f t="shared" si="15"/>
        <v>607.9254365400235</v>
      </c>
    </row>
    <row r="29" spans="1:61" ht="15.75" thickBot="1" x14ac:dyDescent="0.3">
      <c r="A29" s="67" t="s">
        <v>157</v>
      </c>
      <c r="B29" s="5">
        <f t="shared" si="6"/>
        <v>1314.6900555555558</v>
      </c>
      <c r="C29" s="5">
        <f t="shared" si="7"/>
        <v>4675.6095488888877</v>
      </c>
      <c r="D29" s="5">
        <f t="shared" si="8"/>
        <v>2220.9733999999999</v>
      </c>
      <c r="E29" s="5">
        <f t="shared" ref="E29:F29" si="20">((O9+O15+O21)/3)+(AM9+AM15+AM21)/3</f>
        <v>1970.8500000000001</v>
      </c>
      <c r="F29" s="5">
        <f t="shared" si="20"/>
        <v>754.22</v>
      </c>
      <c r="G29" s="5">
        <f t="shared" si="10"/>
        <v>1314.6900555555558</v>
      </c>
      <c r="H29" s="5">
        <f t="shared" si="11"/>
        <v>45692.740186666662</v>
      </c>
      <c r="I29" s="5">
        <f t="shared" ref="I29:K29" si="21">SUM(N9,AL9)</f>
        <v>2126.1759466666672</v>
      </c>
      <c r="J29" s="5">
        <f t="shared" si="21"/>
        <v>1970.8500000000001</v>
      </c>
      <c r="K29" s="5">
        <f t="shared" si="21"/>
        <v>754.22</v>
      </c>
      <c r="L29" s="17">
        <f t="shared" si="13"/>
        <v>0</v>
      </c>
      <c r="M29" s="17">
        <f t="shared" si="14"/>
        <v>694.20861842315435</v>
      </c>
      <c r="N29" s="17">
        <f t="shared" si="15"/>
        <v>66.172031393796743</v>
      </c>
      <c r="O29" s="17">
        <f t="shared" si="15"/>
        <v>0</v>
      </c>
      <c r="P29" s="17">
        <f t="shared" si="15"/>
        <v>0</v>
      </c>
      <c r="Q29" s="17">
        <f t="shared" si="15"/>
        <v>760.13465187525867</v>
      </c>
    </row>
    <row r="30" spans="1:61" ht="15.75" thickBot="1" x14ac:dyDescent="0.3">
      <c r="A30" s="67" t="s">
        <v>158</v>
      </c>
      <c r="B30" s="5">
        <f t="shared" si="6"/>
        <v>1314.6900555555558</v>
      </c>
      <c r="C30" s="5">
        <f t="shared" si="7"/>
        <v>4482.1549577777778</v>
      </c>
      <c r="D30" s="5">
        <f>((N10+N16+N22)/3)+(AL10+AL16+AL22)/3</f>
        <v>2220.9733999999999</v>
      </c>
      <c r="E30" s="5">
        <f t="shared" ref="E30:F30" si="22">((O10+O16+O22)/3)+(AM10+AM16+AM22)/3</f>
        <v>1970.8500000000001</v>
      </c>
      <c r="F30" s="5">
        <f t="shared" si="22"/>
        <v>754.22</v>
      </c>
      <c r="G30" s="5">
        <f t="shared" si="10"/>
        <v>1314.6900555555558</v>
      </c>
      <c r="H30" s="5">
        <f t="shared" si="11"/>
        <v>43880.016586666665</v>
      </c>
      <c r="I30" s="5">
        <f t="shared" ref="I30:K30" si="23">SUM(N10,AL10)</f>
        <v>2126.1759466666672</v>
      </c>
      <c r="J30" s="5">
        <f t="shared" si="23"/>
        <v>1970.8500000000001</v>
      </c>
      <c r="K30" s="5">
        <f t="shared" si="23"/>
        <v>754.22</v>
      </c>
      <c r="L30" s="17">
        <f t="shared" si="13"/>
        <v>0</v>
      </c>
      <c r="M30" s="17">
        <f t="shared" si="14"/>
        <v>705.1751145309679</v>
      </c>
      <c r="N30" s="17">
        <f t="shared" si="15"/>
        <v>66.172031393796743</v>
      </c>
      <c r="O30" s="17">
        <f t="shared" si="15"/>
        <v>0</v>
      </c>
      <c r="P30" s="17">
        <f t="shared" si="15"/>
        <v>0</v>
      </c>
      <c r="Q30" s="17">
        <f t="shared" si="15"/>
        <v>770.93869871180834</v>
      </c>
    </row>
    <row r="31" spans="1:61" x14ac:dyDescent="0.25">
      <c r="B31" s="5">
        <f>AVERAGE(B25:B30)</f>
        <v>3965.8427283950609</v>
      </c>
      <c r="C31" s="5">
        <f t="shared" ref="C31:F31" si="24">AVERAGE(C25:C30)</f>
        <v>5092.0169871111111</v>
      </c>
      <c r="D31" s="5">
        <f t="shared" si="24"/>
        <v>2531.9599140740738</v>
      </c>
      <c r="E31" s="5">
        <f t="shared" si="24"/>
        <v>1970.8500000000001</v>
      </c>
      <c r="F31" s="5">
        <f t="shared" si="24"/>
        <v>754.22000000000014</v>
      </c>
      <c r="G31" s="5">
        <f t="shared" si="10"/>
        <v>7416.4549999999999</v>
      </c>
      <c r="H31" s="5">
        <f t="shared" si="11"/>
        <v>59653.963600000003</v>
      </c>
      <c r="I31" s="5">
        <f t="shared" ref="I31:K31" si="25">SUM(N11,AL11)</f>
        <v>3169.0037333333335</v>
      </c>
      <c r="J31" s="5">
        <f t="shared" si="25"/>
        <v>1970.8500000000001</v>
      </c>
      <c r="K31" s="5">
        <f t="shared" si="25"/>
        <v>754.22</v>
      </c>
    </row>
    <row r="32" spans="1:61" thickBot="1" x14ac:dyDescent="0.4">
      <c r="G32" s="5">
        <f t="shared" si="10"/>
        <v>7416.4549999999999</v>
      </c>
      <c r="H32" s="5">
        <f t="shared" si="11"/>
        <v>59653.963600000003</v>
      </c>
      <c r="I32" s="5">
        <f t="shared" ref="I32:K32" si="26">SUM(N12,AL12)</f>
        <v>3169.0037333333335</v>
      </c>
      <c r="J32" s="5">
        <f t="shared" si="26"/>
        <v>1970.8500000000001</v>
      </c>
      <c r="K32" s="5">
        <f t="shared" si="26"/>
        <v>754.22</v>
      </c>
    </row>
    <row r="33" spans="2:11" x14ac:dyDescent="0.25">
      <c r="B33" s="64" t="s">
        <v>138</v>
      </c>
      <c r="C33" s="64" t="s">
        <v>165</v>
      </c>
      <c r="D33" s="64" t="s">
        <v>162</v>
      </c>
      <c r="E33" s="63" t="s">
        <v>163</v>
      </c>
      <c r="F33" s="64" t="s">
        <v>14</v>
      </c>
      <c r="G33" s="5">
        <f t="shared" si="10"/>
        <v>3709.7288333333336</v>
      </c>
      <c r="H33" s="5">
        <f t="shared" si="11"/>
        <v>52290.457199999997</v>
      </c>
      <c r="I33" s="5">
        <f t="shared" ref="I33:K33" si="27">SUM(N13,AL13)</f>
        <v>2768.8841333333335</v>
      </c>
      <c r="J33" s="5">
        <f t="shared" si="27"/>
        <v>1970.8500000000001</v>
      </c>
      <c r="K33" s="5">
        <f t="shared" si="27"/>
        <v>754.22</v>
      </c>
    </row>
    <row r="34" spans="2:11" ht="14.45" x14ac:dyDescent="0.35">
      <c r="B34" s="5">
        <f>AVERAGE(B28:B33)</f>
        <v>2305.0777515432096</v>
      </c>
      <c r="C34" s="5">
        <f>AVERAGE(C28:C33)</f>
        <v>4780.4755524444436</v>
      </c>
      <c r="D34" s="5">
        <f t="shared" ref="D34" si="28">AVERAGE(D28:D33)</f>
        <v>2331.3240996296295</v>
      </c>
      <c r="E34" s="5">
        <f>AVERAGE(E28:E33)</f>
        <v>1970.8500000000001</v>
      </c>
      <c r="F34" s="5">
        <f t="shared" ref="F34" si="29">AVERAGE(F28:F33)</f>
        <v>754.22</v>
      </c>
      <c r="G34" s="5">
        <f t="shared" si="10"/>
        <v>2625.4148333333333</v>
      </c>
      <c r="H34" s="5">
        <f t="shared" si="11"/>
        <v>50839.578520000003</v>
      </c>
      <c r="I34" s="5">
        <f t="shared" ref="I34:K34" si="30">SUM(N14,AL14)</f>
        <v>2586.7642799999999</v>
      </c>
      <c r="J34" s="5">
        <f t="shared" si="30"/>
        <v>1970.8500000000001</v>
      </c>
      <c r="K34" s="5">
        <f t="shared" si="30"/>
        <v>754.22</v>
      </c>
    </row>
    <row r="35" spans="2:11" ht="14.45" x14ac:dyDescent="0.35">
      <c r="G35" s="5">
        <f t="shared" si="10"/>
        <v>1314.6900555555558</v>
      </c>
      <c r="H35" s="5">
        <f t="shared" si="11"/>
        <v>49424.950226666668</v>
      </c>
      <c r="I35" s="5">
        <f t="shared" ref="I35:K35" si="31">SUM(N15,AL15)</f>
        <v>2473.2561733333332</v>
      </c>
      <c r="J35" s="5">
        <f t="shared" si="31"/>
        <v>1970.8500000000001</v>
      </c>
      <c r="K35" s="5">
        <f t="shared" si="31"/>
        <v>754.22</v>
      </c>
    </row>
    <row r="36" spans="2:11" ht="14.45" x14ac:dyDescent="0.35">
      <c r="G36" s="5">
        <f t="shared" si="10"/>
        <v>1314.6900555555558</v>
      </c>
      <c r="H36" s="5">
        <f t="shared" si="11"/>
        <v>47501.689426666664</v>
      </c>
      <c r="I36" s="5">
        <f t="shared" ref="I36:K36" si="32">SUM(N16,AL16)</f>
        <v>2473.2561733333332</v>
      </c>
      <c r="J36" s="5">
        <f t="shared" si="32"/>
        <v>1970.8500000000001</v>
      </c>
      <c r="K36" s="5">
        <f t="shared" si="32"/>
        <v>754.22</v>
      </c>
    </row>
    <row r="37" spans="2:11" ht="14.45" x14ac:dyDescent="0.35">
      <c r="G37" s="5">
        <f t="shared" si="10"/>
        <v>7416.4549999999999</v>
      </c>
      <c r="H37" s="5">
        <f t="shared" si="11"/>
        <v>56368.736560000005</v>
      </c>
      <c r="I37" s="5">
        <f t="shared" ref="I37:K37" si="33">SUM(N17,AL17)</f>
        <v>2803.9785066666673</v>
      </c>
      <c r="J37" s="5">
        <f t="shared" si="33"/>
        <v>1970.8500000000001</v>
      </c>
      <c r="K37" s="5">
        <f t="shared" si="33"/>
        <v>754.22</v>
      </c>
    </row>
    <row r="38" spans="2:11" ht="14.45" x14ac:dyDescent="0.35">
      <c r="G38" s="5">
        <f t="shared" si="10"/>
        <v>7416.4549999999999</v>
      </c>
      <c r="H38" s="5">
        <f t="shared" si="11"/>
        <v>56368.736560000005</v>
      </c>
      <c r="I38" s="5">
        <f t="shared" ref="I38:K38" si="34">SUM(N18,AL18)</f>
        <v>2803.9785066666673</v>
      </c>
      <c r="J38" s="5">
        <f t="shared" si="34"/>
        <v>1970.8500000000001</v>
      </c>
      <c r="K38" s="5">
        <f t="shared" si="34"/>
        <v>754.22</v>
      </c>
    </row>
    <row r="39" spans="2:11" ht="14.45" x14ac:dyDescent="0.35">
      <c r="G39" s="5">
        <f t="shared" si="10"/>
        <v>3709.7288333333336</v>
      </c>
      <c r="H39" s="5">
        <f t="shared" si="11"/>
        <v>49361.833199999994</v>
      </c>
      <c r="I39" s="5">
        <f t="shared" ref="I39:K39" si="35">SUM(N19,AL19)</f>
        <v>2443.4814666666666</v>
      </c>
      <c r="J39" s="5">
        <f t="shared" si="35"/>
        <v>1970.8500000000001</v>
      </c>
      <c r="K39" s="5">
        <f t="shared" si="35"/>
        <v>754.22</v>
      </c>
    </row>
    <row r="40" spans="2:11" ht="14.45" x14ac:dyDescent="0.35">
      <c r="G40" s="5">
        <f t="shared" si="10"/>
        <v>2625.4148333333333</v>
      </c>
      <c r="H40" s="5">
        <f t="shared" si="11"/>
        <v>47598.711519999997</v>
      </c>
      <c r="I40" s="5">
        <f t="shared" ref="I40:K40" si="36">SUM(N20,AL20)</f>
        <v>2226.6679466666665</v>
      </c>
      <c r="J40" s="5">
        <f t="shared" si="36"/>
        <v>1970.8500000000001</v>
      </c>
      <c r="K40" s="5">
        <f t="shared" si="36"/>
        <v>754.22</v>
      </c>
    </row>
    <row r="41" spans="2:11" ht="14.45" x14ac:dyDescent="0.35">
      <c r="G41" s="5">
        <f t="shared" si="10"/>
        <v>1314.6900555555558</v>
      </c>
      <c r="H41" s="5">
        <f t="shared" si="11"/>
        <v>45150.596053333327</v>
      </c>
      <c r="I41" s="5">
        <f t="shared" ref="I41:K41" si="37">SUM(N21,AL21)</f>
        <v>2063.4880800000001</v>
      </c>
      <c r="J41" s="5">
        <f t="shared" si="37"/>
        <v>1970.8500000000001</v>
      </c>
      <c r="K41" s="5">
        <f t="shared" si="37"/>
        <v>754.22</v>
      </c>
    </row>
    <row r="42" spans="2:11" x14ac:dyDescent="0.25">
      <c r="G42" s="5">
        <f>SUM(F22,AD22)</f>
        <v>1314.6900555555558</v>
      </c>
      <c r="H42" s="5">
        <f t="shared" si="11"/>
        <v>43082.942719999999</v>
      </c>
      <c r="I42" s="5">
        <f t="shared" ref="I42:K42" si="38">SUM(N22,AL22)</f>
        <v>2063.4880800000001</v>
      </c>
      <c r="J42" s="5">
        <f t="shared" si="38"/>
        <v>1970.8500000000001</v>
      </c>
      <c r="K42" s="5">
        <f t="shared" si="38"/>
        <v>754.22</v>
      </c>
    </row>
    <row r="43" spans="2:11" ht="15.75" thickBot="1" x14ac:dyDescent="0.3">
      <c r="G43" s="5"/>
    </row>
    <row r="44" spans="2:11" ht="135" x14ac:dyDescent="0.25">
      <c r="B44" s="62" t="s">
        <v>138</v>
      </c>
      <c r="C44" s="62" t="s">
        <v>164</v>
      </c>
      <c r="D44" s="62" t="s">
        <v>161</v>
      </c>
      <c r="E44" s="39" t="s">
        <v>137</v>
      </c>
      <c r="F44" s="62" t="s">
        <v>14</v>
      </c>
      <c r="G44" s="17">
        <f>STDEV(G25,G31,G37)/SQRT(3)</f>
        <v>0.86203703703722578</v>
      </c>
      <c r="H44" s="17">
        <f>(STDEV(H25,H31,H37)/SQRT(3))</f>
        <v>1084.3994157031243</v>
      </c>
      <c r="I44" s="17">
        <f>(STDEV(I25,I31,I37)/SQRT(3))</f>
        <v>120.48882396701354</v>
      </c>
      <c r="J44" s="17">
        <f>(STDEV(J25,J31,J37)/SQRT(3))</f>
        <v>0</v>
      </c>
      <c r="K44" s="17">
        <f>(STDEV(K25,K31,K37)/SQRT(3))</f>
        <v>8.0388733884609276E-14</v>
      </c>
    </row>
    <row r="45" spans="2:11" x14ac:dyDescent="0.25">
      <c r="B45">
        <v>7415.5929629629627</v>
      </c>
      <c r="C45">
        <v>5748.5489800000005</v>
      </c>
      <c r="D45">
        <v>2928.0622000000003</v>
      </c>
      <c r="E45">
        <v>1970.8500000000001</v>
      </c>
      <c r="F45">
        <v>754.22</v>
      </c>
      <c r="G45" s="17">
        <f t="shared" ref="G45:G49" si="39">STDEV(G26,G32,G38)/SQRT(3)</f>
        <v>0.86203703703722578</v>
      </c>
      <c r="H45" s="17">
        <f t="shared" ref="H45:I48" si="40">(STDEV(H26,H32,H38)/SQRT(3))</f>
        <v>1084.3994157031243</v>
      </c>
      <c r="I45" s="17">
        <f t="shared" si="40"/>
        <v>120.48882396701354</v>
      </c>
      <c r="J45" s="17">
        <f t="shared" ref="J45:K45" si="41">(STDEV(J26,J32,J38)/SQRT(3))</f>
        <v>0</v>
      </c>
      <c r="K45" s="17">
        <f t="shared" si="41"/>
        <v>8.0388733884609276E-14</v>
      </c>
    </row>
    <row r="46" spans="2:11" x14ac:dyDescent="0.25">
      <c r="G46" s="17">
        <f t="shared" si="39"/>
        <v>0.32666666666652117</v>
      </c>
      <c r="H46" s="17">
        <f t="shared" si="40"/>
        <v>1022.4055047919289</v>
      </c>
      <c r="I46" s="17">
        <f t="shared" si="40"/>
        <v>113.60061164354775</v>
      </c>
      <c r="J46" s="17">
        <f t="shared" ref="J46:K46" si="42">(STDEV(J27,J33,J39)/SQRT(3))</f>
        <v>0</v>
      </c>
      <c r="K46" s="17">
        <f t="shared" si="42"/>
        <v>8.0388733884609276E-14</v>
      </c>
    </row>
    <row r="47" spans="2:11" x14ac:dyDescent="0.25">
      <c r="G47" s="17">
        <f t="shared" si="39"/>
        <v>0.32666666666652117</v>
      </c>
      <c r="H47" s="17">
        <f t="shared" si="40"/>
        <v>1059.8161892810162</v>
      </c>
      <c r="I47" s="17">
        <f t="shared" si="40"/>
        <v>117.75735436455707</v>
      </c>
      <c r="J47" s="17">
        <f t="shared" ref="J47:K47" si="43">(STDEV(J28,J34,J40)/SQRT(3))</f>
        <v>0</v>
      </c>
      <c r="K47" s="17">
        <f t="shared" si="43"/>
        <v>8.0388733884609276E-14</v>
      </c>
    </row>
    <row r="48" spans="2:11" x14ac:dyDescent="0.25">
      <c r="G48" s="17">
        <f t="shared" si="39"/>
        <v>0</v>
      </c>
      <c r="H48" s="17">
        <f t="shared" si="40"/>
        <v>1343.5735029944242</v>
      </c>
      <c r="I48" s="17">
        <f t="shared" si="40"/>
        <v>127.43284564477204</v>
      </c>
      <c r="J48" s="17">
        <f t="shared" ref="J48:K48" si="44">(STDEV(J29,J35,J41)/SQRT(3))</f>
        <v>0</v>
      </c>
      <c r="K48" s="17">
        <f t="shared" si="44"/>
        <v>8.0388733884609276E-14</v>
      </c>
    </row>
    <row r="49" spans="7:11" x14ac:dyDescent="0.25">
      <c r="G49" s="17">
        <f t="shared" si="39"/>
        <v>0</v>
      </c>
      <c r="H49" s="17">
        <f>(STDEV(H30,H36,H42)/SQRT(3))</f>
        <v>1359.6805868085771</v>
      </c>
      <c r="I49" s="17">
        <f>(STDEV(I30,I36,I42)/SQRT(3))</f>
        <v>127.43284564477204</v>
      </c>
      <c r="J49" s="17">
        <f>(STDEV(J30,J36,J42)/SQRT(3))</f>
        <v>0</v>
      </c>
      <c r="K49" s="17">
        <f>(STDEV(K30,K36,K42)/SQRT(3))</f>
        <v>8.0388733884609276E-14</v>
      </c>
    </row>
    <row r="50" spans="7:11" x14ac:dyDescent="0.25">
      <c r="G50" s="17"/>
      <c r="H50" s="17"/>
      <c r="I50" s="17"/>
      <c r="J50" s="17"/>
      <c r="K50" s="17"/>
    </row>
    <row r="51" spans="7:11" x14ac:dyDescent="0.25">
      <c r="G51" s="17"/>
      <c r="H51" s="17"/>
      <c r="I51" s="17"/>
      <c r="J51" s="17"/>
      <c r="K51" s="17"/>
    </row>
  </sheetData>
  <mergeCells count="42">
    <mergeCell ref="AQ1:AQ2"/>
    <mergeCell ref="AR1:AR2"/>
    <mergeCell ref="AS1:AS2"/>
    <mergeCell ref="AT1:AT2"/>
    <mergeCell ref="AB1:AD1"/>
    <mergeCell ref="AE1:AI1"/>
    <mergeCell ref="AP1:AP2"/>
    <mergeCell ref="AJ1:AL1"/>
    <mergeCell ref="AN1:AN2"/>
    <mergeCell ref="AO1:AO2"/>
    <mergeCell ref="BG1:BG2"/>
    <mergeCell ref="AV1:AV2"/>
    <mergeCell ref="AW1:AW2"/>
    <mergeCell ref="AX1:AX2"/>
    <mergeCell ref="AY1:AY2"/>
    <mergeCell ref="AZ1:AZ2"/>
    <mergeCell ref="BH1:BH2"/>
    <mergeCell ref="BI1:BI2"/>
    <mergeCell ref="S1:S2"/>
    <mergeCell ref="T1:T2"/>
    <mergeCell ref="U1:U2"/>
    <mergeCell ref="V1:V2"/>
    <mergeCell ref="W1:W2"/>
    <mergeCell ref="X1:X2"/>
    <mergeCell ref="Y1:Y2"/>
    <mergeCell ref="BA1:BA2"/>
    <mergeCell ref="BB1:BB2"/>
    <mergeCell ref="BC1:BC2"/>
    <mergeCell ref="BD1:BD2"/>
    <mergeCell ref="BE1:BE2"/>
    <mergeCell ref="BF1:BF2"/>
    <mergeCell ref="AU1:AU2"/>
    <mergeCell ref="C1:F1"/>
    <mergeCell ref="G1:K1"/>
    <mergeCell ref="L1:N1"/>
    <mergeCell ref="O1:O2"/>
    <mergeCell ref="P1:P2"/>
    <mergeCell ref="Q1:Q2"/>
    <mergeCell ref="Z1:Z2"/>
    <mergeCell ref="AA1:AA2"/>
    <mergeCell ref="AM1:AM2"/>
    <mergeCell ref="R1:R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7"/>
  <sheetViews>
    <sheetView tabSelected="1" topLeftCell="A10" workbookViewId="0">
      <selection activeCell="Z19" sqref="Z19"/>
    </sheetView>
  </sheetViews>
  <sheetFormatPr defaultRowHeight="15" x14ac:dyDescent="0.25"/>
  <cols>
    <col min="6" max="6" width="8.85546875" bestFit="1" customWidth="1"/>
    <col min="7" max="8" width="9.42578125" bestFit="1" customWidth="1"/>
    <col min="9" max="11" width="10.42578125" bestFit="1" customWidth="1"/>
    <col min="12" max="14" width="9.42578125" bestFit="1" customWidth="1"/>
  </cols>
  <sheetData>
    <row r="1" spans="1:18" x14ac:dyDescent="0.25">
      <c r="A1" t="s">
        <v>139</v>
      </c>
      <c r="B1" t="s">
        <v>140</v>
      </c>
      <c r="C1" s="81" t="s">
        <v>141</v>
      </c>
      <c r="D1" s="81"/>
      <c r="E1" s="81"/>
      <c r="F1" s="81" t="s">
        <v>142</v>
      </c>
      <c r="G1" s="81"/>
      <c r="H1" s="81"/>
      <c r="I1" s="81" t="s">
        <v>143</v>
      </c>
      <c r="J1" s="81"/>
      <c r="K1" s="81"/>
      <c r="L1" s="81" t="s">
        <v>144</v>
      </c>
      <c r="M1" s="81"/>
      <c r="N1" s="81"/>
      <c r="O1" s="81" t="s">
        <v>145</v>
      </c>
      <c r="P1" s="81"/>
      <c r="Q1" s="81"/>
    </row>
    <row r="2" spans="1:18" x14ac:dyDescent="0.25">
      <c r="C2" t="s">
        <v>32</v>
      </c>
      <c r="D2" t="s">
        <v>33</v>
      </c>
      <c r="E2" t="s">
        <v>34</v>
      </c>
      <c r="F2" t="s">
        <v>32</v>
      </c>
      <c r="G2" t="s">
        <v>33</v>
      </c>
      <c r="H2" t="s">
        <v>34</v>
      </c>
      <c r="I2" t="s">
        <v>32</v>
      </c>
      <c r="J2" t="s">
        <v>33</v>
      </c>
      <c r="K2" t="s">
        <v>34</v>
      </c>
      <c r="L2" t="s">
        <v>32</v>
      </c>
      <c r="M2" t="s">
        <v>33</v>
      </c>
      <c r="N2" t="s">
        <v>34</v>
      </c>
      <c r="O2" t="s">
        <v>32</v>
      </c>
      <c r="P2" t="s">
        <v>33</v>
      </c>
      <c r="Q2" t="s">
        <v>34</v>
      </c>
    </row>
    <row r="3" spans="1:18" x14ac:dyDescent="0.25">
      <c r="A3" t="s">
        <v>139</v>
      </c>
      <c r="B3" t="s">
        <v>140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>
        <v>1</v>
      </c>
      <c r="B4">
        <v>1</v>
      </c>
      <c r="C4" s="5">
        <v>810.5791126724838</v>
      </c>
      <c r="D4" s="5">
        <v>1053.5047533513007</v>
      </c>
      <c r="E4" s="5">
        <v>1864.0838660237844</v>
      </c>
      <c r="F4" s="5">
        <v>44652.189444444441</v>
      </c>
      <c r="G4" s="5">
        <v>24731.723044444447</v>
      </c>
      <c r="H4" s="5">
        <v>69383.912488888891</v>
      </c>
      <c r="I4" s="5">
        <v>5476.1288623835944</v>
      </c>
      <c r="J4" s="5">
        <v>2469.6551181232935</v>
      </c>
      <c r="K4" s="5">
        <v>7945.7839805068879</v>
      </c>
      <c r="L4" s="58">
        <f>C4/F4</f>
        <v>1.8153177319132217E-2</v>
      </c>
      <c r="M4" s="58">
        <f>D4/G4</f>
        <v>4.2597305147647299E-2</v>
      </c>
      <c r="N4" s="58">
        <f>E4/H4</f>
        <v>2.6866225889499933E-2</v>
      </c>
      <c r="O4" s="17">
        <f>C4/I4</f>
        <v>0.14802045989832005</v>
      </c>
      <c r="P4" s="17">
        <f t="shared" ref="P4:Q19" si="0">D4/J4</f>
        <v>0.42657970565212588</v>
      </c>
      <c r="Q4" s="17">
        <f>E4/K4</f>
        <v>0.2346003705357301</v>
      </c>
    </row>
    <row r="5" spans="1:18" ht="14.45" x14ac:dyDescent="0.35">
      <c r="A5">
        <v>2</v>
      </c>
      <c r="B5">
        <v>1</v>
      </c>
      <c r="C5" s="5">
        <v>829.85896604170159</v>
      </c>
      <c r="D5" s="5">
        <v>1074.2026806363838</v>
      </c>
      <c r="E5" s="5">
        <v>1904.0616466780855</v>
      </c>
      <c r="F5" s="5">
        <v>44652.189444444441</v>
      </c>
      <c r="G5" s="5">
        <v>24731.723044444447</v>
      </c>
      <c r="H5" s="5">
        <v>69383.912488888891</v>
      </c>
      <c r="I5" s="5">
        <v>5767.2939363501364</v>
      </c>
      <c r="J5" s="5">
        <v>1946.5107617952963</v>
      </c>
      <c r="K5" s="5">
        <v>7713.8046981454327</v>
      </c>
      <c r="L5" s="58">
        <f t="shared" ref="L5:N21" si="1">C5/F5</f>
        <v>1.8584955774099257E-2</v>
      </c>
      <c r="M5" s="58">
        <f t="shared" si="1"/>
        <v>4.3434203055968831E-2</v>
      </c>
      <c r="N5" s="58">
        <f t="shared" si="1"/>
        <v>2.7442408166057242E-2</v>
      </c>
      <c r="O5" s="17">
        <f>C5/I5</f>
        <v>0.14389052737736518</v>
      </c>
      <c r="P5" s="17">
        <f t="shared" si="0"/>
        <v>0.55186064301315774</v>
      </c>
      <c r="Q5" s="17">
        <f t="shared" si="0"/>
        <v>0.24683819738602711</v>
      </c>
    </row>
    <row r="6" spans="1:18" ht="14.45" x14ac:dyDescent="0.35">
      <c r="A6">
        <v>3</v>
      </c>
      <c r="B6">
        <v>1</v>
      </c>
      <c r="C6" s="5">
        <v>838.43603703746942</v>
      </c>
      <c r="D6" s="5">
        <v>1074.8085203058317</v>
      </c>
      <c r="E6" s="5">
        <v>1913.2445573433008</v>
      </c>
      <c r="F6" s="5">
        <v>36157.281399999993</v>
      </c>
      <c r="G6" s="5">
        <v>21792.329600000005</v>
      </c>
      <c r="H6" s="5">
        <v>57949.610999999997</v>
      </c>
      <c r="I6" s="5">
        <v>4362.6685888319398</v>
      </c>
      <c r="J6" s="5">
        <v>1489.9497406151411</v>
      </c>
      <c r="K6" s="5">
        <v>5852.6183294470802</v>
      </c>
      <c r="L6" s="58">
        <f t="shared" si="1"/>
        <v>2.3188580683432401E-2</v>
      </c>
      <c r="M6" s="58">
        <f t="shared" si="1"/>
        <v>4.9320496708430452E-2</v>
      </c>
      <c r="N6" s="58">
        <f t="shared" si="1"/>
        <v>3.3015658333639217E-2</v>
      </c>
      <c r="O6" s="17">
        <f t="shared" ref="O6:O21" si="2">C6/I6</f>
        <v>0.19218421476795058</v>
      </c>
      <c r="P6" s="17">
        <f t="shared" si="0"/>
        <v>0.72137233290975711</v>
      </c>
      <c r="Q6" s="17">
        <f t="shared" si="0"/>
        <v>0.32690403673120649</v>
      </c>
    </row>
    <row r="7" spans="1:18" ht="14.45" x14ac:dyDescent="0.35">
      <c r="A7">
        <v>4</v>
      </c>
      <c r="B7">
        <v>1</v>
      </c>
      <c r="C7" s="5">
        <v>886.65777923984376</v>
      </c>
      <c r="D7" s="5">
        <v>1223.1720335048924</v>
      </c>
      <c r="E7" s="5">
        <v>2109.829812744736</v>
      </c>
      <c r="F7" s="5">
        <v>35156.238866666659</v>
      </c>
      <c r="G7" s="5">
        <v>20159.689455555555</v>
      </c>
      <c r="H7" s="5">
        <v>55315.928322222215</v>
      </c>
      <c r="I7" s="5">
        <v>4306.2304436803151</v>
      </c>
      <c r="J7" s="5">
        <v>1036.1428331672848</v>
      </c>
      <c r="K7" s="5">
        <v>5342.3732768476002</v>
      </c>
      <c r="L7" s="58">
        <f t="shared" si="1"/>
        <v>2.5220495929686244E-2</v>
      </c>
      <c r="M7" s="58">
        <f t="shared" si="1"/>
        <v>6.0674150571690171E-2</v>
      </c>
      <c r="N7" s="58">
        <f t="shared" si="1"/>
        <v>3.8141451779579887E-2</v>
      </c>
      <c r="O7" s="17">
        <f t="shared" si="2"/>
        <v>0.20590114505856835</v>
      </c>
      <c r="P7" s="17">
        <f t="shared" si="0"/>
        <v>1.1805052299265499</v>
      </c>
      <c r="Q7" s="17">
        <f t="shared" si="0"/>
        <v>0.39492369840351055</v>
      </c>
    </row>
    <row r="8" spans="1:18" ht="14.45" x14ac:dyDescent="0.35">
      <c r="A8">
        <v>5</v>
      </c>
      <c r="B8">
        <v>1</v>
      </c>
      <c r="C8" s="5">
        <v>936.9060950279985</v>
      </c>
      <c r="D8" s="5">
        <v>1262.7599803388941</v>
      </c>
      <c r="E8" s="5">
        <v>2199.6660753668925</v>
      </c>
      <c r="F8" s="5">
        <v>33052.652066666662</v>
      </c>
      <c r="G8" s="5">
        <v>18806.024122222225</v>
      </c>
      <c r="H8" s="5">
        <v>51858.676188888887</v>
      </c>
      <c r="I8" s="5">
        <v>4200.9474238090834</v>
      </c>
      <c r="J8" s="5">
        <v>843.57704935487698</v>
      </c>
      <c r="K8" s="5">
        <v>5044.5244731639605</v>
      </c>
      <c r="L8" s="58">
        <f t="shared" si="1"/>
        <v>2.8345867470430941E-2</v>
      </c>
      <c r="M8" s="58">
        <f t="shared" si="1"/>
        <v>6.7146568149231922E-2</v>
      </c>
      <c r="N8" s="58">
        <f t="shared" si="1"/>
        <v>4.2416548917578956E-2</v>
      </c>
      <c r="O8" s="17">
        <f t="shared" si="2"/>
        <v>0.22302257098435355</v>
      </c>
      <c r="P8" s="17">
        <f t="shared" si="0"/>
        <v>1.4969112558296673</v>
      </c>
      <c r="Q8" s="17">
        <f t="shared" si="0"/>
        <v>0.43605023368778439</v>
      </c>
    </row>
    <row r="9" spans="1:18" ht="14.45" x14ac:dyDescent="0.35">
      <c r="A9">
        <v>6</v>
      </c>
      <c r="B9">
        <v>1</v>
      </c>
      <c r="C9" s="5">
        <v>990.80209208976123</v>
      </c>
      <c r="D9" s="5">
        <v>1278.3325857140378</v>
      </c>
      <c r="E9" s="5">
        <v>2269.1346778037987</v>
      </c>
      <c r="F9" s="5">
        <v>32025.318733333337</v>
      </c>
      <c r="G9" s="5">
        <v>18020.633855555559</v>
      </c>
      <c r="H9" s="5">
        <v>50045.952588888897</v>
      </c>
      <c r="I9" s="5">
        <v>4114.5248882331671</v>
      </c>
      <c r="J9" s="5">
        <v>739.76492381373271</v>
      </c>
      <c r="K9" s="5">
        <v>4854.2898120468999</v>
      </c>
      <c r="L9" s="58">
        <f t="shared" si="1"/>
        <v>3.0938086841224521E-2</v>
      </c>
      <c r="M9" s="58">
        <f t="shared" si="1"/>
        <v>7.0937159922370999E-2</v>
      </c>
      <c r="N9" s="58">
        <f t="shared" si="1"/>
        <v>4.5341022808457594E-2</v>
      </c>
      <c r="O9" s="17">
        <f t="shared" si="2"/>
        <v>0.2408059542726998</v>
      </c>
      <c r="P9" s="17">
        <f t="shared" si="0"/>
        <v>1.7280254099150996</v>
      </c>
      <c r="Q9" s="17">
        <f t="shared" si="0"/>
        <v>0.46744936245307872</v>
      </c>
    </row>
    <row r="10" spans="1:18" ht="14.45" x14ac:dyDescent="0.35">
      <c r="A10">
        <v>1</v>
      </c>
      <c r="B10">
        <v>2</v>
      </c>
      <c r="C10" s="5">
        <v>782.52536623975618</v>
      </c>
      <c r="D10" s="5">
        <v>919.5876596268281</v>
      </c>
      <c r="E10" s="5">
        <v>1702.1130258665844</v>
      </c>
      <c r="F10" s="5">
        <v>47722.174222222224</v>
      </c>
      <c r="G10" s="5">
        <v>25242.318111111112</v>
      </c>
      <c r="H10" s="5">
        <v>72964.492333333328</v>
      </c>
      <c r="I10" s="5">
        <v>5275.5988549959875</v>
      </c>
      <c r="J10" s="5">
        <v>2436.7042202005227</v>
      </c>
      <c r="K10" s="5">
        <v>7712.3030751965089</v>
      </c>
      <c r="L10" s="58">
        <f t="shared" si="1"/>
        <v>1.6397521257012777E-2</v>
      </c>
      <c r="M10" s="58">
        <f t="shared" si="1"/>
        <v>3.6430396589528992E-2</v>
      </c>
      <c r="N10" s="58">
        <f t="shared" si="1"/>
        <v>2.3327963663347325E-2</v>
      </c>
      <c r="O10" s="17">
        <f t="shared" si="2"/>
        <v>0.14832920162205004</v>
      </c>
      <c r="P10" s="17">
        <f t="shared" si="0"/>
        <v>0.3773899400687839</v>
      </c>
      <c r="Q10" s="17">
        <f t="shared" si="0"/>
        <v>0.22070100322441163</v>
      </c>
    </row>
    <row r="11" spans="1:18" ht="14.45" x14ac:dyDescent="0.35">
      <c r="A11">
        <v>2</v>
      </c>
      <c r="B11">
        <v>2</v>
      </c>
      <c r="C11" s="5">
        <v>820.06723313942132</v>
      </c>
      <c r="D11" s="5">
        <v>1001.2631931769793</v>
      </c>
      <c r="E11" s="5">
        <v>1821.3304263164007</v>
      </c>
      <c r="F11" s="5">
        <v>47722.174222222224</v>
      </c>
      <c r="G11" s="5">
        <v>25242.318111111112</v>
      </c>
      <c r="H11" s="5">
        <v>72964.492333333328</v>
      </c>
      <c r="I11" s="5">
        <v>5578.0496992482122</v>
      </c>
      <c r="J11" s="5">
        <v>1815.3512704221696</v>
      </c>
      <c r="K11" s="5">
        <v>7393.4009696703824</v>
      </c>
      <c r="L11" s="58">
        <f t="shared" si="1"/>
        <v>1.7184196791217243E-2</v>
      </c>
      <c r="M11" s="58">
        <f t="shared" si="1"/>
        <v>3.9666055580538991E-2</v>
      </c>
      <c r="N11" s="58">
        <f t="shared" si="1"/>
        <v>2.496187348218331E-2</v>
      </c>
      <c r="O11" s="17">
        <f t="shared" si="2"/>
        <v>0.14701683874382596</v>
      </c>
      <c r="P11" s="17">
        <f t="shared" si="0"/>
        <v>0.55155341530354629</v>
      </c>
      <c r="Q11" s="17">
        <f t="shared" si="0"/>
        <v>0.24634541448353239</v>
      </c>
    </row>
    <row r="12" spans="1:18" ht="14.45" x14ac:dyDescent="0.35">
      <c r="A12">
        <v>3</v>
      </c>
      <c r="B12">
        <v>2</v>
      </c>
      <c r="C12" s="5">
        <v>861.53994851624975</v>
      </c>
      <c r="D12" s="5">
        <v>1075.3452571544562</v>
      </c>
      <c r="E12" s="5">
        <v>1936.8852056707062</v>
      </c>
      <c r="F12" s="5">
        <v>38948.566333333329</v>
      </c>
      <c r="G12" s="5">
        <v>22544.583999999999</v>
      </c>
      <c r="H12" s="5">
        <v>61493.150333333324</v>
      </c>
      <c r="I12" s="5">
        <v>4191.5057750088026</v>
      </c>
      <c r="J12" s="5">
        <v>1404.1882868064204</v>
      </c>
      <c r="K12" s="5">
        <v>5595.6940618152221</v>
      </c>
      <c r="L12" s="58">
        <f t="shared" si="1"/>
        <v>2.2119939952165029E-2</v>
      </c>
      <c r="M12" s="58">
        <f t="shared" si="1"/>
        <v>4.7698607220007086E-2</v>
      </c>
      <c r="N12" s="58">
        <f t="shared" si="1"/>
        <v>3.149757648081964E-2</v>
      </c>
      <c r="O12" s="17">
        <f t="shared" si="2"/>
        <v>0.20554425897562803</v>
      </c>
      <c r="P12" s="17">
        <f t="shared" si="0"/>
        <v>0.76581272416118795</v>
      </c>
      <c r="Q12" s="17">
        <f t="shared" si="0"/>
        <v>0.34613851012476332</v>
      </c>
    </row>
    <row r="13" spans="1:18" ht="14.45" x14ac:dyDescent="0.35">
      <c r="A13">
        <v>4</v>
      </c>
      <c r="B13">
        <v>2</v>
      </c>
      <c r="C13" s="5">
        <v>817.39497663465306</v>
      </c>
      <c r="D13" s="5">
        <v>1164.2162867132135</v>
      </c>
      <c r="E13" s="5">
        <v>1981.6112633478667</v>
      </c>
      <c r="F13" s="5">
        <v>38142.765400000004</v>
      </c>
      <c r="G13" s="5">
        <v>20633.437455555555</v>
      </c>
      <c r="H13" s="5">
        <v>58776.202855555559</v>
      </c>
      <c r="I13" s="5">
        <v>4107.7012786937512</v>
      </c>
      <c r="J13" s="5">
        <v>988.7658891132287</v>
      </c>
      <c r="K13" s="5">
        <v>5096.4671678069781</v>
      </c>
      <c r="L13" s="58">
        <f t="shared" si="1"/>
        <v>2.1429882392183682E-2</v>
      </c>
      <c r="M13" s="58">
        <f t="shared" si="1"/>
        <v>5.64237679359504E-2</v>
      </c>
      <c r="N13" s="58">
        <f t="shared" si="1"/>
        <v>3.3714516540269558E-2</v>
      </c>
      <c r="O13" s="17">
        <f t="shared" si="2"/>
        <v>0.19899085186023668</v>
      </c>
      <c r="P13" s="17">
        <f t="shared" si="0"/>
        <v>1.1774438211631035</v>
      </c>
      <c r="Q13" s="17">
        <f t="shared" si="0"/>
        <v>0.38882056885702626</v>
      </c>
    </row>
    <row r="14" spans="1:18" ht="14.45" x14ac:dyDescent="0.35">
      <c r="A14">
        <v>5</v>
      </c>
      <c r="B14">
        <v>2</v>
      </c>
      <c r="C14" s="5">
        <v>874.92673899707916</v>
      </c>
      <c r="D14" s="5">
        <v>1176.6943778622888</v>
      </c>
      <c r="E14" s="5">
        <v>2051.6211168593677</v>
      </c>
      <c r="F14" s="5">
        <v>36159.939666666665</v>
      </c>
      <c r="G14" s="5">
        <v>19778.026788888888</v>
      </c>
      <c r="H14" s="5">
        <v>55937.96645555555</v>
      </c>
      <c r="I14" s="5">
        <v>3966.1681913175394</v>
      </c>
      <c r="J14" s="5">
        <v>836.95885629520524</v>
      </c>
      <c r="K14" s="5">
        <v>4803.1270476127447</v>
      </c>
      <c r="L14" s="58">
        <f t="shared" si="1"/>
        <v>2.4196023197561176E-2</v>
      </c>
      <c r="M14" s="58">
        <f t="shared" si="1"/>
        <v>5.9495034081122021E-2</v>
      </c>
      <c r="N14" s="58">
        <f t="shared" si="1"/>
        <v>3.6676719710385691E-2</v>
      </c>
      <c r="O14" s="17">
        <f t="shared" si="2"/>
        <v>0.22059748774961388</v>
      </c>
      <c r="P14" s="17">
        <f t="shared" si="0"/>
        <v>1.4059166337888118</v>
      </c>
      <c r="Q14" s="17">
        <f t="shared" si="0"/>
        <v>0.42714279604139693</v>
      </c>
    </row>
    <row r="15" spans="1:18" ht="14.45" x14ac:dyDescent="0.35">
      <c r="A15">
        <v>6</v>
      </c>
      <c r="B15">
        <v>2</v>
      </c>
      <c r="C15" s="5">
        <v>917.85853451911169</v>
      </c>
      <c r="D15" s="5">
        <v>1209.3173108914295</v>
      </c>
      <c r="E15" s="5">
        <v>2127.1758454105416</v>
      </c>
      <c r="F15" s="5">
        <v>35015.089</v>
      </c>
      <c r="G15" s="5">
        <v>18999.616655555554</v>
      </c>
      <c r="H15" s="5">
        <v>54014.705655555554</v>
      </c>
      <c r="I15" s="5">
        <v>3865.0805022044065</v>
      </c>
      <c r="J15" s="5">
        <v>707.81093722719197</v>
      </c>
      <c r="K15" s="5">
        <v>4572.8914394315989</v>
      </c>
      <c r="L15" s="58">
        <f t="shared" si="1"/>
        <v>2.6213228660338737E-2</v>
      </c>
      <c r="M15" s="58">
        <f t="shared" si="1"/>
        <v>6.3649563715687973E-2</v>
      </c>
      <c r="N15" s="58">
        <f t="shared" si="1"/>
        <v>3.9381420663018203E-2</v>
      </c>
      <c r="O15" s="17">
        <f t="shared" si="2"/>
        <v>0.2374746228430743</v>
      </c>
      <c r="P15" s="17">
        <f t="shared" si="0"/>
        <v>1.7085315403981458</v>
      </c>
      <c r="Q15" s="17">
        <f t="shared" si="0"/>
        <v>0.4651708604031381</v>
      </c>
    </row>
    <row r="16" spans="1:18" ht="14.45" x14ac:dyDescent="0.35">
      <c r="A16">
        <v>1</v>
      </c>
      <c r="B16">
        <v>3</v>
      </c>
      <c r="C16" s="5">
        <v>879.27238779348284</v>
      </c>
      <c r="D16" s="5">
        <v>1053.1624024135488</v>
      </c>
      <c r="E16" s="5">
        <v>1932.4347902070313</v>
      </c>
      <c r="F16" s="5">
        <v>44680.616355555554</v>
      </c>
      <c r="G16" s="5">
        <v>24633.623711111115</v>
      </c>
      <c r="H16" s="5">
        <v>69314.240066666665</v>
      </c>
      <c r="I16" s="5">
        <v>5161.9453264417143</v>
      </c>
      <c r="J16" s="5">
        <v>2138.778743997555</v>
      </c>
      <c r="K16" s="5">
        <v>7300.7240704392707</v>
      </c>
      <c r="L16" s="58">
        <f t="shared" si="1"/>
        <v>1.9679056815073565E-2</v>
      </c>
      <c r="M16" s="58">
        <f t="shared" si="1"/>
        <v>4.2753044162906276E-2</v>
      </c>
      <c r="N16" s="58">
        <f t="shared" si="1"/>
        <v>2.7879333140613083E-2</v>
      </c>
      <c r="O16" s="17">
        <f t="shared" si="2"/>
        <v>0.17033740812586096</v>
      </c>
      <c r="P16" s="17">
        <f t="shared" si="0"/>
        <v>0.49241297416538787</v>
      </c>
      <c r="Q16" s="17">
        <f t="shared" si="0"/>
        <v>0.26469084046491848</v>
      </c>
    </row>
    <row r="17" spans="1:23" ht="14.45" x14ac:dyDescent="0.35">
      <c r="A17">
        <v>2</v>
      </c>
      <c r="B17">
        <v>3</v>
      </c>
      <c r="C17" s="5">
        <v>899.53839429802144</v>
      </c>
      <c r="D17" s="5">
        <v>1023.6324928622321</v>
      </c>
      <c r="E17" s="5">
        <v>1923.1708871602532</v>
      </c>
      <c r="F17" s="5">
        <v>44680.616355555561</v>
      </c>
      <c r="G17" s="5">
        <v>24633.623711111115</v>
      </c>
      <c r="H17" s="5">
        <v>69314.24006666668</v>
      </c>
      <c r="I17" s="5">
        <v>5398.3401939099904</v>
      </c>
      <c r="J17" s="5">
        <v>1576.8295626475472</v>
      </c>
      <c r="K17" s="5">
        <v>6975.1697565575378</v>
      </c>
      <c r="L17" s="58">
        <f t="shared" si="1"/>
        <v>2.0132631724230309E-2</v>
      </c>
      <c r="M17" s="58">
        <f t="shared" si="1"/>
        <v>4.1554279827718477E-2</v>
      </c>
      <c r="N17" s="58">
        <f t="shared" si="1"/>
        <v>2.7745682349118169E-2</v>
      </c>
      <c r="O17" s="17">
        <f t="shared" si="2"/>
        <v>0.16663240218036174</v>
      </c>
      <c r="P17" s="17">
        <f t="shared" si="0"/>
        <v>0.64917129733635925</v>
      </c>
      <c r="Q17" s="17">
        <f t="shared" si="0"/>
        <v>0.27571671432831157</v>
      </c>
    </row>
    <row r="18" spans="1:23" ht="14.45" x14ac:dyDescent="0.35">
      <c r="A18">
        <v>3</v>
      </c>
      <c r="B18">
        <v>3</v>
      </c>
      <c r="C18" s="5">
        <v>949.53881933260254</v>
      </c>
      <c r="D18" s="5">
        <v>1108.7252321101043</v>
      </c>
      <c r="E18" s="5">
        <v>2058.2640514427071</v>
      </c>
      <c r="F18" s="5">
        <v>36385.541799999999</v>
      </c>
      <c r="G18" s="5">
        <v>21853.581866666671</v>
      </c>
      <c r="H18" s="5">
        <v>58239.123666666666</v>
      </c>
      <c r="I18" s="5">
        <v>4073.7547377893038</v>
      </c>
      <c r="J18" s="5">
        <v>1366.3412337308457</v>
      </c>
      <c r="K18" s="5">
        <v>5440.0959715201489</v>
      </c>
      <c r="L18" s="58">
        <f t="shared" si="1"/>
        <v>2.6096596954689365E-2</v>
      </c>
      <c r="M18" s="58">
        <f t="shared" si="1"/>
        <v>5.0734256694150721E-2</v>
      </c>
      <c r="N18" s="58">
        <f t="shared" si="1"/>
        <v>3.5341604094581536E-2</v>
      </c>
      <c r="O18" s="17">
        <f t="shared" si="2"/>
        <v>0.2330868892337605</v>
      </c>
      <c r="P18" s="17">
        <f t="shared" si="0"/>
        <v>0.81145559011103596</v>
      </c>
      <c r="Q18" s="17">
        <f t="shared" si="0"/>
        <v>0.37835068760148322</v>
      </c>
    </row>
    <row r="19" spans="1:23" ht="14.45" x14ac:dyDescent="0.35">
      <c r="A19">
        <v>4</v>
      </c>
      <c r="B19">
        <v>3</v>
      </c>
      <c r="C19" s="5">
        <v>981.48064692482092</v>
      </c>
      <c r="D19" s="5">
        <v>1188.7662169852022</v>
      </c>
      <c r="E19" s="5">
        <v>2170.246863910023</v>
      </c>
      <c r="F19" s="5">
        <v>34712.159933333329</v>
      </c>
      <c r="G19" s="5">
        <v>20463.079588888886</v>
      </c>
      <c r="H19" s="5">
        <v>55175.239522222211</v>
      </c>
      <c r="I19" s="5">
        <v>3982.7671724554366</v>
      </c>
      <c r="J19" s="5">
        <v>937.39782382163321</v>
      </c>
      <c r="K19" s="5">
        <v>4920.1649962770698</v>
      </c>
      <c r="L19" s="58">
        <f t="shared" si="1"/>
        <v>2.8274836507143609E-2</v>
      </c>
      <c r="M19" s="58">
        <f t="shared" si="1"/>
        <v>5.8093221590687777E-2</v>
      </c>
      <c r="N19" s="58">
        <f t="shared" si="1"/>
        <v>3.9333709879699585E-2</v>
      </c>
      <c r="O19" s="17">
        <f t="shared" si="2"/>
        <v>0.24643184108593602</v>
      </c>
      <c r="P19" s="17">
        <f t="shared" si="0"/>
        <v>1.2681555117535659</v>
      </c>
      <c r="Q19" s="17">
        <f t="shared" si="0"/>
        <v>0.44109229376498121</v>
      </c>
    </row>
    <row r="20" spans="1:23" ht="14.45" x14ac:dyDescent="0.35">
      <c r="A20">
        <v>5</v>
      </c>
      <c r="B20">
        <v>3</v>
      </c>
      <c r="C20" s="5">
        <v>1027.5887477698955</v>
      </c>
      <c r="D20" s="5">
        <v>1248.7335258937101</v>
      </c>
      <c r="E20" s="5">
        <v>2276.3222736636053</v>
      </c>
      <c r="F20" s="5">
        <v>32045.219933333334</v>
      </c>
      <c r="G20" s="5">
        <v>19208.624255555555</v>
      </c>
      <c r="H20" s="5">
        <v>51253.844188888892</v>
      </c>
      <c r="I20" s="5">
        <v>3849.7180779593946</v>
      </c>
      <c r="J20" s="5">
        <v>746.82663046477091</v>
      </c>
      <c r="K20" s="5">
        <v>4596.544708424165</v>
      </c>
      <c r="L20" s="58">
        <f t="shared" si="1"/>
        <v>3.2066833989833253E-2</v>
      </c>
      <c r="M20" s="58">
        <f t="shared" si="1"/>
        <v>6.5009003730839759E-2</v>
      </c>
      <c r="N20" s="58">
        <f t="shared" si="1"/>
        <v>4.4412713030354115E-2</v>
      </c>
      <c r="O20" s="17">
        <f t="shared" si="2"/>
        <v>0.26692571428882023</v>
      </c>
      <c r="P20" s="17">
        <f t="shared" ref="P20:P21" si="3">D20/J20</f>
        <v>1.6720527562288299</v>
      </c>
      <c r="Q20" s="17">
        <f t="shared" ref="Q20:Q21" si="4">E20/K20</f>
        <v>0.4952246563580141</v>
      </c>
    </row>
    <row r="21" spans="1:23" ht="14.45" x14ac:dyDescent="0.35">
      <c r="A21">
        <v>6</v>
      </c>
      <c r="B21">
        <v>3</v>
      </c>
      <c r="C21" s="5">
        <v>1079.9689630840976</v>
      </c>
      <c r="D21" s="5">
        <v>1277.5983792179823</v>
      </c>
      <c r="E21" s="5">
        <v>2357.5673423020799</v>
      </c>
      <c r="F21" s="5">
        <v>30777.561266666668</v>
      </c>
      <c r="G21" s="5">
        <v>18408.629588888889</v>
      </c>
      <c r="H21" s="5">
        <v>49186.190855555556</v>
      </c>
      <c r="I21" s="5">
        <v>3746.5852802211689</v>
      </c>
      <c r="J21" s="5">
        <v>616.76277819674112</v>
      </c>
      <c r="K21" s="5">
        <v>4363.3480584179097</v>
      </c>
      <c r="L21" s="58">
        <f t="shared" si="1"/>
        <v>3.508949113046677E-2</v>
      </c>
      <c r="M21" s="58">
        <f t="shared" si="1"/>
        <v>6.9402144958640333E-2</v>
      </c>
      <c r="N21" s="58">
        <f t="shared" si="1"/>
        <v>4.7931488519318707E-2</v>
      </c>
      <c r="O21" s="17">
        <f t="shared" si="2"/>
        <v>0.28825420544553698</v>
      </c>
      <c r="P21" s="17">
        <f t="shared" si="3"/>
        <v>2.0714583051742483</v>
      </c>
      <c r="Q21" s="17">
        <f t="shared" si="4"/>
        <v>0.54031154763227884</v>
      </c>
    </row>
    <row r="22" spans="1:23" thickBot="1" x14ac:dyDescent="0.4">
      <c r="C22" t="s">
        <v>141</v>
      </c>
      <c r="E22" t="s">
        <v>146</v>
      </c>
    </row>
    <row r="23" spans="1:23" ht="15" customHeight="1" thickBot="1" x14ac:dyDescent="0.4">
      <c r="B23" s="65" t="s">
        <v>153</v>
      </c>
      <c r="C23" s="5">
        <f>AVERAGE(C4,C10,C16)</f>
        <v>824.12562223524094</v>
      </c>
      <c r="D23" s="58">
        <f>AVERAGE(L4,L10,L16)</f>
        <v>1.8076585130406189E-2</v>
      </c>
      <c r="E23" s="58">
        <f>AVERAGE(M4,M10,M16)</f>
        <v>4.0593581966694194E-2</v>
      </c>
      <c r="F23" s="47">
        <f t="shared" ref="F23:L23" si="5">(STDEV(C4,C10,C16)/(SQRT(3)))</f>
        <v>28.738055407883323</v>
      </c>
      <c r="G23" s="47">
        <f t="shared" si="5"/>
        <v>44.582082291676286</v>
      </c>
      <c r="H23" s="47">
        <f t="shared" si="5"/>
        <v>68.294508086842995</v>
      </c>
      <c r="I23" s="47">
        <f t="shared" si="5"/>
        <v>1018.6234960677879</v>
      </c>
      <c r="J23" s="47">
        <f t="shared" si="5"/>
        <v>188.68546341820004</v>
      </c>
      <c r="K23" s="47">
        <f t="shared" si="5"/>
        <v>1205.3065050287964</v>
      </c>
      <c r="L23" s="47">
        <f t="shared" si="5"/>
        <v>91.845493046339442</v>
      </c>
      <c r="M23" s="47">
        <f t="shared" ref="M23:Q23" si="6">(STDEV(J4,J10,J16)/(SQRT(3)))</f>
        <v>105.23110176054247</v>
      </c>
      <c r="N23" s="47">
        <f>(STDEV(K4,K10,K16)/(SQRT(3)))</f>
        <v>188.56370834370767</v>
      </c>
      <c r="O23" s="54">
        <f>(STDEV(L4,L10,L16)/(SQRT(3)))</f>
        <v>9.4807149470819854E-4</v>
      </c>
      <c r="P23" s="54">
        <f t="shared" si="6"/>
        <v>2.0820781304344347E-3</v>
      </c>
      <c r="Q23" s="54">
        <f t="shared" si="6"/>
        <v>1.3796265598153489E-3</v>
      </c>
      <c r="R23" s="54">
        <f t="shared" ref="R23:V23" si="7">(STDEV(L4,L10,L16)/(SQRT(3)))</f>
        <v>9.4807149470819854E-4</v>
      </c>
      <c r="S23" s="54">
        <f t="shared" si="7"/>
        <v>2.0820781304344347E-3</v>
      </c>
      <c r="T23" s="54">
        <f t="shared" si="7"/>
        <v>1.3796265598153489E-3</v>
      </c>
      <c r="U23" s="54">
        <f t="shared" si="7"/>
        <v>7.3880633951631663E-3</v>
      </c>
      <c r="V23" s="54">
        <f t="shared" si="7"/>
        <v>3.3319956194175451E-2</v>
      </c>
      <c r="W23" s="54">
        <f>(STDEV(Q4,Q10,Q16)/(SQRT(3)))</f>
        <v>1.2982326817341209E-2</v>
      </c>
    </row>
    <row r="24" spans="1:23" ht="15" customHeight="1" thickBot="1" x14ac:dyDescent="0.4">
      <c r="B24" s="67" t="s">
        <v>154</v>
      </c>
      <c r="C24" s="5">
        <f t="shared" ref="C24:C28" si="8">AVERAGE(C5,C11,C17)</f>
        <v>849.82153115971471</v>
      </c>
      <c r="D24" s="58">
        <f t="shared" ref="D24:E24" si="9">AVERAGE(L5,L11,L17)</f>
        <v>1.8633928096515606E-2</v>
      </c>
      <c r="E24" s="58">
        <f t="shared" si="9"/>
        <v>4.1551512821408766E-2</v>
      </c>
      <c r="F24" s="47">
        <f t="shared" ref="F24:Q28" si="10">(STDEV(C5,C11,C17)/(SQRT(3)))</f>
        <v>25.018622187897268</v>
      </c>
      <c r="G24" s="47">
        <f t="shared" si="10"/>
        <v>21.57403054441232</v>
      </c>
      <c r="H24" s="47">
        <f t="shared" si="10"/>
        <v>31.252641985409475</v>
      </c>
      <c r="I24" s="47">
        <f t="shared" si="10"/>
        <v>1018.6234960677867</v>
      </c>
      <c r="J24" s="47">
        <f t="shared" si="10"/>
        <v>188.68546341820004</v>
      </c>
      <c r="K24" s="47">
        <f t="shared" si="10"/>
        <v>1205.3065050287937</v>
      </c>
      <c r="L24" s="47">
        <f t="shared" si="10"/>
        <v>106.51962564235843</v>
      </c>
      <c r="M24" s="47">
        <f t="shared" si="10"/>
        <v>108.20751828990892</v>
      </c>
      <c r="N24" s="47">
        <f t="shared" si="10"/>
        <v>213.84800856074136</v>
      </c>
      <c r="O24" s="54">
        <f t="shared" si="10"/>
        <v>8.5149199542627896E-4</v>
      </c>
      <c r="P24" s="54">
        <f t="shared" si="10"/>
        <v>1.0877713594608642E-3</v>
      </c>
      <c r="Q24" s="54">
        <f t="shared" si="10"/>
        <v>8.8174761303391031E-4</v>
      </c>
      <c r="R24" s="54">
        <f t="shared" ref="R24:R28" si="11">(STDEV(L5,L11,L17)/(SQRT(3)))</f>
        <v>8.5149199542627896E-4</v>
      </c>
      <c r="S24" s="54">
        <f t="shared" ref="S24:T28" si="12">(STDEV(M5,M11,M17)/(SQRT(3)))</f>
        <v>1.0877713594608642E-3</v>
      </c>
      <c r="T24" s="54">
        <f t="shared" si="12"/>
        <v>8.8174761303391031E-4</v>
      </c>
      <c r="U24" s="54">
        <f t="shared" ref="U24:U28" si="13">(STDEV(O5,O11,O17)/(SQRT(3)))</f>
        <v>7.1170258349959282E-3</v>
      </c>
      <c r="V24" s="54">
        <f t="shared" ref="V24:V28" si="14">(STDEV(P5,P11,P17)/(SQRT(3)))</f>
        <v>3.2488210448174168E-2</v>
      </c>
      <c r="W24" s="54">
        <f t="shared" ref="W24:W27" si="15">(STDEV(Q5,Q11,Q17)/(SQRT(3)))</f>
        <v>9.7093449554389137E-3</v>
      </c>
    </row>
    <row r="25" spans="1:23" ht="15" customHeight="1" thickBot="1" x14ac:dyDescent="0.4">
      <c r="B25" s="67" t="s">
        <v>155</v>
      </c>
      <c r="C25" s="5">
        <f t="shared" si="8"/>
        <v>883.17160162877383</v>
      </c>
      <c r="D25" s="58">
        <f t="shared" ref="D25:E25" si="16">AVERAGE(L6,L12,L18)</f>
        <v>2.3801705863428932E-2</v>
      </c>
      <c r="E25" s="58">
        <f t="shared" si="16"/>
        <v>4.925112020752942E-2</v>
      </c>
      <c r="F25" s="47">
        <f t="shared" si="10"/>
        <v>33.847222292311123</v>
      </c>
      <c r="G25" s="47">
        <f t="shared" si="10"/>
        <v>11.217184619290496</v>
      </c>
      <c r="H25" s="47">
        <f t="shared" si="10"/>
        <v>44.921139618428953</v>
      </c>
      <c r="I25" s="47">
        <f t="shared" si="10"/>
        <v>894.8143552879925</v>
      </c>
      <c r="J25" s="47">
        <f t="shared" si="10"/>
        <v>241.19177141417833</v>
      </c>
      <c r="K25" s="47">
        <f t="shared" si="10"/>
        <v>1136.0061164354745</v>
      </c>
      <c r="L25" s="47">
        <f t="shared" si="10"/>
        <v>83.875976207734567</v>
      </c>
      <c r="M25" s="47">
        <f t="shared" si="10"/>
        <v>36.565382353665548</v>
      </c>
      <c r="N25" s="47">
        <f t="shared" si="10"/>
        <v>120.27642717027484</v>
      </c>
      <c r="O25" s="54">
        <f t="shared" si="10"/>
        <v>1.1881907946805505E-3</v>
      </c>
      <c r="P25" s="54">
        <f t="shared" si="10"/>
        <v>8.7700280437124527E-4</v>
      </c>
      <c r="Q25" s="54">
        <f t="shared" si="10"/>
        <v>1.1178139501840595E-3</v>
      </c>
      <c r="R25" s="54">
        <f t="shared" si="11"/>
        <v>1.1881907946805505E-3</v>
      </c>
      <c r="S25" s="54">
        <f t="shared" si="12"/>
        <v>8.7700280437124527E-4</v>
      </c>
      <c r="T25" s="54">
        <f t="shared" si="12"/>
        <v>1.1178139501840595E-3</v>
      </c>
      <c r="U25" s="54">
        <f t="shared" si="13"/>
        <v>1.2041862261902363E-2</v>
      </c>
      <c r="V25" s="54">
        <f t="shared" si="14"/>
        <v>2.6005568650117793E-2</v>
      </c>
      <c r="W25" s="54">
        <f t="shared" si="15"/>
        <v>1.5008048267304393E-2</v>
      </c>
    </row>
    <row r="26" spans="1:23" thickBot="1" x14ac:dyDescent="0.4">
      <c r="B26" s="67" t="s">
        <v>156</v>
      </c>
      <c r="C26" s="5">
        <f t="shared" si="8"/>
        <v>895.17780093310591</v>
      </c>
      <c r="D26" s="58">
        <f t="shared" ref="D26:E26" si="17">AVERAGE(L7,L13,L19)</f>
        <v>2.497507160967118E-2</v>
      </c>
      <c r="E26" s="58">
        <f t="shared" si="17"/>
        <v>5.8397046699442783E-2</v>
      </c>
      <c r="F26" s="47">
        <f t="shared" si="10"/>
        <v>47.558630047145186</v>
      </c>
      <c r="G26" s="47">
        <f t="shared" si="10"/>
        <v>17.098147018692217</v>
      </c>
      <c r="H26" s="47">
        <f t="shared" si="10"/>
        <v>55.614549595303089</v>
      </c>
      <c r="I26" s="47">
        <f t="shared" si="10"/>
        <v>1077.1773995354151</v>
      </c>
      <c r="J26" s="47">
        <f t="shared" si="10"/>
        <v>138.5449271783213</v>
      </c>
      <c r="K26" s="47">
        <f t="shared" si="10"/>
        <v>1177.5735436455752</v>
      </c>
      <c r="L26" s="47">
        <f t="shared" si="10"/>
        <v>94.17797810626908</v>
      </c>
      <c r="M26" s="47">
        <f t="shared" si="10"/>
        <v>28.512989077470962</v>
      </c>
      <c r="N26" s="47">
        <f t="shared" si="10"/>
        <v>122.43186366573751</v>
      </c>
      <c r="O26" s="54">
        <f t="shared" si="10"/>
        <v>1.9797747373222251E-3</v>
      </c>
      <c r="P26" s="54">
        <f t="shared" si="10"/>
        <v>1.2363481723853833E-3</v>
      </c>
      <c r="Q26" s="54">
        <f t="shared" si="10"/>
        <v>1.7093625968673464E-3</v>
      </c>
      <c r="R26" s="54">
        <f t="shared" si="11"/>
        <v>1.9797747373222251E-3</v>
      </c>
      <c r="S26" s="54">
        <f t="shared" si="12"/>
        <v>1.2363481723853833E-3</v>
      </c>
      <c r="T26" s="54">
        <f t="shared" si="12"/>
        <v>1.7093625968673464E-3</v>
      </c>
      <c r="U26" s="54">
        <f t="shared" si="13"/>
        <v>1.4797028476583299E-2</v>
      </c>
      <c r="V26" s="54">
        <f t="shared" si="14"/>
        <v>2.9740129023249982E-2</v>
      </c>
      <c r="W26" s="54">
        <f t="shared" si="15"/>
        <v>1.6501044769558111E-2</v>
      </c>
    </row>
    <row r="27" spans="1:23" thickBot="1" x14ac:dyDescent="0.4">
      <c r="B27" s="67" t="s">
        <v>157</v>
      </c>
      <c r="C27" s="5">
        <f t="shared" si="8"/>
        <v>946.47386059832445</v>
      </c>
      <c r="D27" s="58">
        <f t="shared" ref="D27:E27" si="18">AVERAGE(L8,L14,L20)</f>
        <v>2.8202908219275125E-2</v>
      </c>
      <c r="E27" s="58">
        <f t="shared" si="18"/>
        <v>6.3883535320397908E-2</v>
      </c>
      <c r="F27" s="47">
        <f t="shared" si="10"/>
        <v>44.328616920090482</v>
      </c>
      <c r="G27" s="47">
        <f t="shared" si="10"/>
        <v>26.660070228982388</v>
      </c>
      <c r="H27" s="47">
        <f t="shared" si="10"/>
        <v>65.947829694709043</v>
      </c>
      <c r="I27" s="47">
        <f t="shared" si="10"/>
        <v>1238.3024719409016</v>
      </c>
      <c r="J27" s="47">
        <f t="shared" si="10"/>
        <v>281.96683180961577</v>
      </c>
      <c r="K27" s="47">
        <f t="shared" si="10"/>
        <v>1470.9677886991378</v>
      </c>
      <c r="L27" s="47">
        <f t="shared" si="10"/>
        <v>103.29138134865626</v>
      </c>
      <c r="M27" s="47">
        <f t="shared" si="10"/>
        <v>31.205646006180157</v>
      </c>
      <c r="N27" s="47">
        <f t="shared" si="10"/>
        <v>129.45073055536153</v>
      </c>
      <c r="O27" s="54">
        <f t="shared" si="10"/>
        <v>2.2732314475620331E-3</v>
      </c>
      <c r="P27" s="54">
        <f t="shared" si="10"/>
        <v>2.2793641478885077E-3</v>
      </c>
      <c r="Q27" s="54">
        <f t="shared" si="10"/>
        <v>2.318714959477392E-3</v>
      </c>
      <c r="R27" s="54">
        <f t="shared" si="11"/>
        <v>2.2732314475620331E-3</v>
      </c>
      <c r="S27" s="54">
        <f t="shared" si="12"/>
        <v>2.2793641478885077E-3</v>
      </c>
      <c r="T27" s="54">
        <f t="shared" si="12"/>
        <v>2.318714959477392E-3</v>
      </c>
      <c r="U27" s="54">
        <f t="shared" si="13"/>
        <v>1.505484712453467E-2</v>
      </c>
      <c r="V27" s="54">
        <f t="shared" si="14"/>
        <v>7.8096451075234274E-2</v>
      </c>
      <c r="W27" s="54">
        <f t="shared" si="15"/>
        <v>2.1364683277615277E-2</v>
      </c>
    </row>
    <row r="28" spans="1:23" thickBot="1" x14ac:dyDescent="0.4">
      <c r="B28" s="67" t="s">
        <v>158</v>
      </c>
      <c r="C28" s="5">
        <f t="shared" si="8"/>
        <v>996.20986323099021</v>
      </c>
      <c r="D28" s="58">
        <f t="shared" ref="D28:E28" si="19">AVERAGE(L9,L15,L21)</f>
        <v>3.0746935544010007E-2</v>
      </c>
      <c r="E28" s="58">
        <f t="shared" si="19"/>
        <v>6.7996289532233092E-2</v>
      </c>
      <c r="F28" s="47">
        <f t="shared" si="10"/>
        <v>46.875298235203381</v>
      </c>
      <c r="G28" s="47">
        <f t="shared" si="10"/>
        <v>22.883705398570736</v>
      </c>
      <c r="H28" s="47">
        <f t="shared" si="10"/>
        <v>67.1039360017338</v>
      </c>
      <c r="I28" s="47">
        <f t="shared" si="10"/>
        <v>1257.2515489890284</v>
      </c>
      <c r="J28" s="47">
        <f t="shared" si="10"/>
        <v>284.62584843458831</v>
      </c>
      <c r="K28" s="47">
        <f t="shared" si="10"/>
        <v>1487.0691965536955</v>
      </c>
      <c r="L28" s="47">
        <f t="shared" si="10"/>
        <v>108.43410044255374</v>
      </c>
      <c r="M28" s="47">
        <f t="shared" si="10"/>
        <v>36.848301896643079</v>
      </c>
      <c r="N28" s="47">
        <f t="shared" si="10"/>
        <v>142.22776688066537</v>
      </c>
      <c r="O28" s="54">
        <f t="shared" si="10"/>
        <v>2.5641381250803004E-3</v>
      </c>
      <c r="P28" s="54">
        <f t="shared" si="10"/>
        <v>2.218076248154708E-3</v>
      </c>
      <c r="Q28" s="54">
        <f t="shared" si="10"/>
        <v>2.5312604532394976E-3</v>
      </c>
      <c r="R28" s="54">
        <f t="shared" si="11"/>
        <v>2.5641381250803004E-3</v>
      </c>
      <c r="S28" s="54">
        <f t="shared" si="12"/>
        <v>2.218076248154708E-3</v>
      </c>
      <c r="T28" s="54">
        <f t="shared" si="12"/>
        <v>2.5312604532394976E-3</v>
      </c>
      <c r="U28" s="54">
        <f t="shared" si="13"/>
        <v>1.6399526276584583E-2</v>
      </c>
      <c r="V28" s="54">
        <f t="shared" si="14"/>
        <v>0.117861029532825</v>
      </c>
      <c r="W28" s="54">
        <f>(STDEV(Q9,Q15,Q21)/(SQRT(3)))</f>
        <v>2.4675913219560655E-2</v>
      </c>
    </row>
    <row r="29" spans="1:23" ht="14.45" x14ac:dyDescent="0.35">
      <c r="D29" s="58">
        <f>AVERAGE(D26:D28)</f>
        <v>2.7974971790985435E-2</v>
      </c>
      <c r="E29" s="17">
        <f>AVERAGE(E26:E28)</f>
        <v>6.3425623850691268E-2</v>
      </c>
      <c r="F29" s="17">
        <f>AVERAGE(F26:F28)</f>
        <v>46.25418173414635</v>
      </c>
      <c r="O29" s="54">
        <f>AVERAGE(O26:O28)</f>
        <v>2.2723814366548529E-3</v>
      </c>
    </row>
    <row r="30" spans="1:23" ht="14.45" x14ac:dyDescent="0.35">
      <c r="D30" s="17">
        <f>(D29-D23)/D23</f>
        <v>0.54758056287575074</v>
      </c>
      <c r="E30" s="17">
        <f>(E29-E23)/E23</f>
        <v>0.56245447624528611</v>
      </c>
      <c r="F30" s="17">
        <f>(F29-F23)/F23</f>
        <v>0.60950979729331534</v>
      </c>
      <c r="O30" s="54">
        <f>(O29-O23)/O23</f>
        <v>1.3968460705110179</v>
      </c>
    </row>
    <row r="32" spans="1:23" ht="14.45" x14ac:dyDescent="0.35">
      <c r="D32" s="17">
        <f>(D25-D23)/D23</f>
        <v>0.31671472746213863</v>
      </c>
    </row>
    <row r="33" spans="2:27" ht="14.45" x14ac:dyDescent="0.35">
      <c r="D33" s="17">
        <f>(D26-D23)/D23</f>
        <v>0.38162553543706734</v>
      </c>
    </row>
    <row r="34" spans="2:27" ht="14.45" x14ac:dyDescent="0.35">
      <c r="D34" s="17">
        <f>(D27-D23)/D23</f>
        <v>0.56019004783351989</v>
      </c>
    </row>
    <row r="35" spans="2:27" ht="14.45" x14ac:dyDescent="0.35">
      <c r="D35" s="17">
        <f>(D28-D23)/D23</f>
        <v>0.70092610535666533</v>
      </c>
    </row>
    <row r="36" spans="2:27" x14ac:dyDescent="0.25">
      <c r="D36" s="17"/>
    </row>
    <row r="37" spans="2:27" x14ac:dyDescent="0.25">
      <c r="C37" s="81"/>
      <c r="D37" s="81"/>
      <c r="E37" s="81"/>
      <c r="F37" s="81"/>
      <c r="G37" s="81"/>
      <c r="H37" s="81"/>
      <c r="V37" s="81" t="s">
        <v>168</v>
      </c>
      <c r="W37" s="81"/>
      <c r="X37" s="81"/>
      <c r="Y37" s="81" t="s">
        <v>167</v>
      </c>
      <c r="Z37" s="81"/>
      <c r="AA37" s="81"/>
    </row>
    <row r="38" spans="2:27" ht="15.75" thickBot="1" x14ac:dyDescent="0.3">
      <c r="C38" t="s">
        <v>147</v>
      </c>
      <c r="D38" t="s">
        <v>148</v>
      </c>
      <c r="E38" t="s">
        <v>149</v>
      </c>
      <c r="F38" t="s">
        <v>150</v>
      </c>
      <c r="G38" t="s">
        <v>151</v>
      </c>
      <c r="H38" t="s">
        <v>152</v>
      </c>
      <c r="M38" t="s">
        <v>147</v>
      </c>
      <c r="N38" t="s">
        <v>148</v>
      </c>
      <c r="O38" t="s">
        <v>149</v>
      </c>
      <c r="P38" t="s">
        <v>150</v>
      </c>
      <c r="Q38" t="s">
        <v>151</v>
      </c>
      <c r="R38" t="s">
        <v>152</v>
      </c>
      <c r="V38" t="s">
        <v>32</v>
      </c>
      <c r="W38" t="s">
        <v>33</v>
      </c>
      <c r="X38" t="s">
        <v>34</v>
      </c>
      <c r="Y38" t="s">
        <v>32</v>
      </c>
      <c r="Z38" t="s">
        <v>33</v>
      </c>
      <c r="AA38" t="s">
        <v>34</v>
      </c>
    </row>
    <row r="39" spans="2:27" ht="15.75" thickBot="1" x14ac:dyDescent="0.3">
      <c r="B39" s="65" t="s">
        <v>153</v>
      </c>
      <c r="C39" s="5">
        <f>AVERAGE(C4,C10,C16)</f>
        <v>824.12562223524094</v>
      </c>
      <c r="D39" s="5">
        <f t="shared" ref="D39:E39" si="20">AVERAGE(D4,D10,D16)</f>
        <v>1008.7516051305593</v>
      </c>
      <c r="E39" s="5">
        <f t="shared" si="20"/>
        <v>1832.8772273657999</v>
      </c>
      <c r="F39" s="17">
        <f>AVERAGE(O4,O10,O16)</f>
        <v>0.1555623565487437</v>
      </c>
      <c r="G39" s="17">
        <f t="shared" ref="G39:H44" si="21">AVERAGE(P4,P10,P16)</f>
        <v>0.43212753996209924</v>
      </c>
      <c r="H39" s="17">
        <f t="shared" si="21"/>
        <v>0.23999740474168674</v>
      </c>
      <c r="L39" s="65" t="s">
        <v>153</v>
      </c>
      <c r="M39" s="5">
        <v>824.12562223524094</v>
      </c>
      <c r="N39" s="5">
        <v>1008.7516051305593</v>
      </c>
      <c r="O39" s="5">
        <v>1832.8772273657999</v>
      </c>
      <c r="P39" s="58">
        <f>AVERAGE(L4,L10,L16)</f>
        <v>1.8076585130406189E-2</v>
      </c>
      <c r="Q39" s="58">
        <f t="shared" ref="Q39:R44" si="22">AVERAGE(M4,M10,M16)</f>
        <v>4.0593581966694194E-2</v>
      </c>
      <c r="R39" s="58">
        <f t="shared" si="22"/>
        <v>2.6024507564486779E-2</v>
      </c>
      <c r="U39" s="65" t="s">
        <v>153</v>
      </c>
      <c r="V39" s="5">
        <v>824.12562223524094</v>
      </c>
      <c r="W39" s="5">
        <v>1008.7516051305593</v>
      </c>
      <c r="X39" s="5">
        <v>1832.8772273657999</v>
      </c>
      <c r="Y39" s="58">
        <v>1.8076585130406189E-2</v>
      </c>
      <c r="Z39" s="58">
        <v>4.0593581966694194E-2</v>
      </c>
      <c r="AA39" s="58">
        <v>2.6024507564486779E-2</v>
      </c>
    </row>
    <row r="40" spans="2:27" ht="15.75" thickBot="1" x14ac:dyDescent="0.3">
      <c r="B40" s="67" t="s">
        <v>154</v>
      </c>
      <c r="C40" s="5">
        <f t="shared" ref="C40:E44" si="23">AVERAGE(C5,C11,C17)</f>
        <v>849.82153115971471</v>
      </c>
      <c r="D40" s="5">
        <f t="shared" si="23"/>
        <v>1033.032788891865</v>
      </c>
      <c r="E40" s="5">
        <f t="shared" si="23"/>
        <v>1882.8543200515796</v>
      </c>
      <c r="F40" s="17">
        <f t="shared" ref="F40:F44" si="24">AVERAGE(O5,O11,O17)</f>
        <v>0.15251325610051764</v>
      </c>
      <c r="G40" s="17">
        <f t="shared" si="21"/>
        <v>0.58419511855102113</v>
      </c>
      <c r="H40" s="17">
        <f t="shared" si="21"/>
        <v>0.25630010873262371</v>
      </c>
      <c r="L40" s="67" t="s">
        <v>154</v>
      </c>
      <c r="M40" s="5">
        <v>849.82153115971471</v>
      </c>
      <c r="N40" s="5">
        <v>1033.032788891865</v>
      </c>
      <c r="O40" s="5">
        <v>1882.8543200515796</v>
      </c>
      <c r="P40" s="58">
        <f t="shared" ref="P40:P44" si="25">AVERAGE(L5,L11,L17)</f>
        <v>1.8633928096515606E-2</v>
      </c>
      <c r="Q40" s="58">
        <f t="shared" si="22"/>
        <v>4.1551512821408766E-2</v>
      </c>
      <c r="R40" s="58">
        <f t="shared" si="22"/>
        <v>2.6716654665786242E-2</v>
      </c>
      <c r="U40" s="69" t="s">
        <v>154</v>
      </c>
      <c r="V40" s="5">
        <v>849.82153115971471</v>
      </c>
      <c r="W40" s="5">
        <v>1033.032788891865</v>
      </c>
      <c r="X40" s="5">
        <v>1882.8543200515796</v>
      </c>
      <c r="Y40" s="58">
        <v>1.8633928096515606E-2</v>
      </c>
      <c r="Z40" s="58">
        <v>4.1551512821408766E-2</v>
      </c>
      <c r="AA40" s="58">
        <v>2.6716654665786242E-2</v>
      </c>
    </row>
    <row r="41" spans="2:27" ht="15.75" thickBot="1" x14ac:dyDescent="0.3">
      <c r="B41" s="67" t="s">
        <v>155</v>
      </c>
      <c r="C41" s="5">
        <f t="shared" si="23"/>
        <v>883.17160162877383</v>
      </c>
      <c r="D41" s="5">
        <f t="shared" si="23"/>
        <v>1086.2930031901308</v>
      </c>
      <c r="E41" s="5">
        <f t="shared" si="23"/>
        <v>1969.4646048189049</v>
      </c>
      <c r="F41" s="17">
        <f t="shared" si="24"/>
        <v>0.21027178765911303</v>
      </c>
      <c r="G41" s="17">
        <f t="shared" si="21"/>
        <v>0.76621354906066041</v>
      </c>
      <c r="H41" s="17">
        <f t="shared" si="21"/>
        <v>0.3504644114858177</v>
      </c>
      <c r="L41" s="67" t="s">
        <v>155</v>
      </c>
      <c r="M41" s="5">
        <v>883.17160162877383</v>
      </c>
      <c r="N41" s="5">
        <v>1086.2930031901308</v>
      </c>
      <c r="O41" s="5">
        <v>1969.4646048189049</v>
      </c>
      <c r="P41" s="58">
        <f t="shared" si="25"/>
        <v>2.3801705863428932E-2</v>
      </c>
      <c r="Q41" s="58">
        <f t="shared" si="22"/>
        <v>4.925112020752942E-2</v>
      </c>
      <c r="R41" s="58">
        <f t="shared" si="22"/>
        <v>3.3284946303013464E-2</v>
      </c>
      <c r="U41" s="69" t="s">
        <v>155</v>
      </c>
      <c r="V41" s="5">
        <v>883.17160162877383</v>
      </c>
      <c r="W41" s="5">
        <v>1086.2930031901308</v>
      </c>
      <c r="X41" s="5">
        <v>1969.4646048189049</v>
      </c>
      <c r="Y41" s="58">
        <v>2.3801705863428932E-2</v>
      </c>
      <c r="Z41" s="58">
        <v>4.925112020752942E-2</v>
      </c>
      <c r="AA41" s="58">
        <v>3.3284946303013464E-2</v>
      </c>
    </row>
    <row r="42" spans="2:27" ht="15.75" thickBot="1" x14ac:dyDescent="0.3">
      <c r="B42" s="67" t="s">
        <v>156</v>
      </c>
      <c r="C42" s="5">
        <f t="shared" si="23"/>
        <v>895.17780093310591</v>
      </c>
      <c r="D42" s="5">
        <f t="shared" si="23"/>
        <v>1192.0515124011026</v>
      </c>
      <c r="E42" s="5">
        <f t="shared" si="23"/>
        <v>2087.2293133342087</v>
      </c>
      <c r="F42" s="17">
        <f t="shared" si="24"/>
        <v>0.21710794600158034</v>
      </c>
      <c r="G42" s="17">
        <f t="shared" si="21"/>
        <v>1.2087015209477399</v>
      </c>
      <c r="H42" s="17">
        <f t="shared" si="21"/>
        <v>0.40827885367517269</v>
      </c>
      <c r="L42" s="67" t="s">
        <v>156</v>
      </c>
      <c r="M42" s="5">
        <v>895.17780093310591</v>
      </c>
      <c r="N42" s="5">
        <v>1192.0515124011026</v>
      </c>
      <c r="O42" s="5">
        <v>2087.2293133342087</v>
      </c>
      <c r="P42" s="58">
        <f t="shared" si="25"/>
        <v>2.497507160967118E-2</v>
      </c>
      <c r="Q42" s="58">
        <f t="shared" si="22"/>
        <v>5.8397046699442783E-2</v>
      </c>
      <c r="R42" s="58">
        <f t="shared" si="22"/>
        <v>3.7063226066516346E-2</v>
      </c>
      <c r="U42" s="69" t="s">
        <v>156</v>
      </c>
      <c r="V42" s="5">
        <v>895.17780093310591</v>
      </c>
      <c r="W42" s="5">
        <v>1192.0515124011026</v>
      </c>
      <c r="X42" s="5">
        <v>2087.2293133342087</v>
      </c>
      <c r="Y42" s="58">
        <v>2.497507160967118E-2</v>
      </c>
      <c r="Z42" s="58">
        <v>5.8397046699442783E-2</v>
      </c>
      <c r="AA42" s="58">
        <v>3.7063226066516346E-2</v>
      </c>
    </row>
    <row r="43" spans="2:27" ht="15.75" thickBot="1" x14ac:dyDescent="0.3">
      <c r="B43" s="67" t="s">
        <v>157</v>
      </c>
      <c r="C43" s="5">
        <f t="shared" si="23"/>
        <v>946.47386059832445</v>
      </c>
      <c r="D43" s="5">
        <f t="shared" si="23"/>
        <v>1229.3959613649643</v>
      </c>
      <c r="E43" s="5">
        <f t="shared" si="23"/>
        <v>2175.8698219632884</v>
      </c>
      <c r="F43" s="17">
        <f t="shared" si="24"/>
        <v>0.23684859100759589</v>
      </c>
      <c r="G43" s="17">
        <f t="shared" si="21"/>
        <v>1.5249602152824364</v>
      </c>
      <c r="H43" s="17">
        <f t="shared" si="21"/>
        <v>0.45280589536239851</v>
      </c>
      <c r="L43" s="67" t="s">
        <v>157</v>
      </c>
      <c r="M43" s="5">
        <v>946.47386059832445</v>
      </c>
      <c r="N43" s="5">
        <v>1229.3959613649643</v>
      </c>
      <c r="O43" s="5">
        <v>2175.8698219632884</v>
      </c>
      <c r="P43" s="58">
        <f t="shared" si="25"/>
        <v>2.8202908219275125E-2</v>
      </c>
      <c r="Q43" s="58">
        <f t="shared" si="22"/>
        <v>6.3883535320397908E-2</v>
      </c>
      <c r="R43" s="58">
        <f t="shared" si="22"/>
        <v>4.116866055277292E-2</v>
      </c>
      <c r="U43" s="69" t="s">
        <v>157</v>
      </c>
      <c r="V43" s="5">
        <v>946.47386059832445</v>
      </c>
      <c r="W43" s="5">
        <v>1229.3959613649643</v>
      </c>
      <c r="X43" s="5">
        <v>2175.8698219632884</v>
      </c>
      <c r="Y43" s="58">
        <v>2.8202908219275125E-2</v>
      </c>
      <c r="Z43" s="58">
        <v>6.3883535320397908E-2</v>
      </c>
      <c r="AA43" s="58">
        <v>4.116866055277292E-2</v>
      </c>
    </row>
    <row r="44" spans="2:27" ht="15.75" thickBot="1" x14ac:dyDescent="0.3">
      <c r="B44" s="67" t="s">
        <v>158</v>
      </c>
      <c r="C44" s="5">
        <f t="shared" si="23"/>
        <v>996.20986323099021</v>
      </c>
      <c r="D44" s="5">
        <f t="shared" si="23"/>
        <v>1255.0827586078165</v>
      </c>
      <c r="E44" s="5">
        <f t="shared" si="23"/>
        <v>2251.292621838807</v>
      </c>
      <c r="F44" s="17">
        <f t="shared" si="24"/>
        <v>0.25551159418710373</v>
      </c>
      <c r="G44" s="17">
        <f t="shared" si="21"/>
        <v>1.8360050851624978</v>
      </c>
      <c r="H44" s="17">
        <f t="shared" si="21"/>
        <v>0.49097725682949855</v>
      </c>
      <c r="L44" s="67" t="s">
        <v>158</v>
      </c>
      <c r="M44" s="5">
        <v>996.20986323099021</v>
      </c>
      <c r="N44" s="5">
        <v>1255.0827586078165</v>
      </c>
      <c r="O44" s="5">
        <v>2251.292621838807</v>
      </c>
      <c r="P44" s="58">
        <f t="shared" si="25"/>
        <v>3.0746935544010007E-2</v>
      </c>
      <c r="Q44" s="58">
        <f t="shared" si="22"/>
        <v>6.7996289532233092E-2</v>
      </c>
      <c r="R44" s="58">
        <f t="shared" si="22"/>
        <v>4.4217977330264835E-2</v>
      </c>
      <c r="U44" s="69" t="s">
        <v>158</v>
      </c>
      <c r="V44" s="5">
        <v>996.20986323099021</v>
      </c>
      <c r="W44" s="5">
        <v>1255.0827586078165</v>
      </c>
      <c r="X44" s="5">
        <v>2251.292621838807</v>
      </c>
      <c r="Y44" s="58">
        <v>3.0746935544010007E-2</v>
      </c>
      <c r="Z44" s="58">
        <v>6.7996289532233092E-2</v>
      </c>
      <c r="AA44" s="58">
        <v>4.4217977330264835E-2</v>
      </c>
    </row>
    <row r="45" spans="2:27" x14ac:dyDescent="0.25">
      <c r="C45" s="17">
        <f t="shared" ref="C45:H45" si="26">AVERAGE(C42:C44)</f>
        <v>945.95384158747356</v>
      </c>
      <c r="D45" s="17">
        <f t="shared" si="26"/>
        <v>1225.5100774579612</v>
      </c>
      <c r="E45" s="17">
        <f t="shared" si="26"/>
        <v>2171.4639190454345</v>
      </c>
      <c r="F45" s="17">
        <f t="shared" si="26"/>
        <v>0.23648937706542669</v>
      </c>
      <c r="G45" s="17">
        <f t="shared" si="26"/>
        <v>1.5232222737975578</v>
      </c>
      <c r="H45" s="17">
        <f t="shared" si="26"/>
        <v>0.45068733528902327</v>
      </c>
      <c r="M45" s="17">
        <f t="shared" ref="M45:R45" si="27">AVERAGE(M42:M44)</f>
        <v>945.95384158747356</v>
      </c>
      <c r="N45" s="17">
        <f t="shared" si="27"/>
        <v>1225.5100774579612</v>
      </c>
      <c r="O45" s="17">
        <f t="shared" si="27"/>
        <v>2171.4639190454345</v>
      </c>
      <c r="P45" s="17">
        <f t="shared" si="27"/>
        <v>2.7974971790985435E-2</v>
      </c>
      <c r="Q45" s="17">
        <f t="shared" si="27"/>
        <v>6.3425623850691268E-2</v>
      </c>
      <c r="R45" s="17">
        <f t="shared" si="27"/>
        <v>4.0816621316518031E-2</v>
      </c>
    </row>
    <row r="46" spans="2:27" x14ac:dyDescent="0.25">
      <c r="C46" s="17">
        <f t="shared" ref="C46:H46" si="28">(C45-C39)/C39</f>
        <v>0.14782724388765284</v>
      </c>
      <c r="D46" s="17">
        <f t="shared" si="28"/>
        <v>0.21487794539801267</v>
      </c>
      <c r="E46" s="17">
        <f t="shared" si="28"/>
        <v>0.18472960797611601</v>
      </c>
      <c r="F46" s="17">
        <f t="shared" si="28"/>
        <v>0.52022238742137739</v>
      </c>
      <c r="G46" s="17">
        <f t="shared" si="28"/>
        <v>2.5249368136341315</v>
      </c>
      <c r="H46" s="17">
        <f t="shared" si="28"/>
        <v>0.87788420368172593</v>
      </c>
      <c r="M46" s="17">
        <f t="shared" ref="M46:Q46" si="29">(M45-M39)/M39</f>
        <v>0.14782724388765284</v>
      </c>
      <c r="N46" s="17">
        <f t="shared" si="29"/>
        <v>0.21487794539801267</v>
      </c>
      <c r="O46" s="17">
        <f t="shared" si="29"/>
        <v>0.18472960797611601</v>
      </c>
      <c r="P46" s="17">
        <f t="shared" si="29"/>
        <v>0.54758056287575074</v>
      </c>
      <c r="Q46" s="17">
        <f t="shared" si="29"/>
        <v>0.56245447624528611</v>
      </c>
      <c r="R46" s="17">
        <f>(R45-R39)/R39</f>
        <v>0.56839168677361152</v>
      </c>
    </row>
    <row r="47" spans="2:27" x14ac:dyDescent="0.25">
      <c r="C47" s="17">
        <f>(C44-C39)/C39</f>
        <v>0.20880826460535529</v>
      </c>
      <c r="D47" s="17">
        <f>(D44-D39)/D39</f>
        <v>0.24419406345864045</v>
      </c>
      <c r="E47" s="17">
        <f>(E44-E39)/E39</f>
        <v>0.22828337229894621</v>
      </c>
      <c r="M47" s="17">
        <f>(M44-M39)/M39</f>
        <v>0.20880826460535529</v>
      </c>
      <c r="N47" s="17">
        <f>(N44-N39)/N39</f>
        <v>0.24419406345864045</v>
      </c>
      <c r="O47" s="17">
        <f>(O44-O39)/O39</f>
        <v>0.22828337229894621</v>
      </c>
    </row>
  </sheetData>
  <mergeCells count="9">
    <mergeCell ref="V37:X37"/>
    <mergeCell ref="Y37:AA37"/>
    <mergeCell ref="O1:Q1"/>
    <mergeCell ref="C37:E37"/>
    <mergeCell ref="F37:H37"/>
    <mergeCell ref="F1:H1"/>
    <mergeCell ref="C1:E1"/>
    <mergeCell ref="L1:N1"/>
    <mergeCell ref="I1:K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Rice</vt:lpstr>
      <vt:lpstr>Wheat</vt:lpstr>
      <vt:lpstr>System</vt:lpstr>
      <vt:lpstr>RW energy</vt:lpstr>
      <vt:lpstr>Economics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2021-09-23T13:45:04Z</dcterms:modified>
</cp:coreProperties>
</file>